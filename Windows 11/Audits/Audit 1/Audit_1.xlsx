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evelopment\CIS-Microsoft-Intune-For-Windows-IntuneProfile\Windows 11\Audits\Audit 1\"/>
    </mc:Choice>
  </mc:AlternateContent>
  <xr:revisionPtr revIDLastSave="0" documentId="13_ncr:1_{86149041-BFD2-46B5-826E-E02E664F6102}" xr6:coauthVersionLast="47" xr6:coauthVersionMax="47" xr10:uidLastSave="{00000000-0000-0000-0000-000000000000}"/>
  <bookViews>
    <workbookView xWindow="-38510" yWindow="-110" windowWidth="38620" windowHeight="21100" xr2:uid="{6D423A4A-7A00-466B-B920-3508EE6F38B8}"/>
  </bookViews>
  <sheets>
    <sheet name="Sheet1" sheetId="1" r:id="rId1"/>
  </sheets>
  <definedNames>
    <definedName name="_xlnm._FilterDatabase" localSheetId="0" hidden="1">Sheet1!$A$6:$F$343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4" i="1" l="1"/>
  <c r="A76" i="1"/>
  <c r="A161" i="1"/>
  <c r="A97" i="1"/>
  <c r="A139" i="1"/>
  <c r="A131" i="1"/>
  <c r="A19" i="1"/>
  <c r="A10" i="1"/>
  <c r="A291" i="1"/>
  <c r="A133" i="1"/>
  <c r="A148" i="1"/>
  <c r="A268" i="1"/>
  <c r="A155" i="1"/>
  <c r="A230" i="1"/>
  <c r="A165" i="1"/>
  <c r="A69" i="1"/>
  <c r="A237" i="1"/>
  <c r="A36" i="1"/>
  <c r="A51" i="1"/>
  <c r="A280" i="1"/>
  <c r="A119" i="1"/>
  <c r="A340" i="1"/>
  <c r="A224" i="1"/>
  <c r="A206" i="1"/>
  <c r="A288" i="1"/>
  <c r="A257" i="1"/>
  <c r="A326" i="1"/>
  <c r="A81" i="1"/>
  <c r="A342" i="1"/>
  <c r="A122" i="1"/>
  <c r="A219" i="1"/>
  <c r="A314" i="1"/>
  <c r="A246" i="1"/>
  <c r="A202" i="1"/>
  <c r="A78" i="1"/>
  <c r="A7" i="1"/>
  <c r="A157" i="1"/>
  <c r="A279" i="1"/>
  <c r="A129" i="1"/>
  <c r="A231" i="1"/>
  <c r="A35" i="1"/>
  <c r="A27" i="1"/>
  <c r="A302" i="1"/>
  <c r="A13" i="1"/>
  <c r="A209" i="1"/>
  <c r="A91" i="1"/>
  <c r="A74" i="1"/>
  <c r="A80" i="1"/>
  <c r="A117" i="1"/>
  <c r="A168" i="1"/>
  <c r="A178" i="1"/>
  <c r="A58" i="1"/>
  <c r="A90" i="1"/>
  <c r="A98" i="1"/>
  <c r="A135" i="1"/>
  <c r="A226" i="1"/>
  <c r="A227" i="1"/>
  <c r="A65" i="1"/>
  <c r="A162" i="1"/>
  <c r="A120" i="1"/>
  <c r="A16" i="1"/>
  <c r="A274" i="1"/>
  <c r="A327" i="1"/>
  <c r="A236" i="1"/>
  <c r="A180" i="1"/>
  <c r="A247" i="1"/>
  <c r="A179" i="1"/>
  <c r="A70" i="1"/>
  <c r="A241" i="1"/>
  <c r="A116" i="1"/>
  <c r="A56" i="1"/>
  <c r="A254" i="1"/>
  <c r="A297" i="1"/>
  <c r="A111" i="1"/>
  <c r="A130" i="1"/>
  <c r="A296" i="1"/>
  <c r="A160" i="1"/>
  <c r="A18" i="1"/>
  <c r="A83" i="1"/>
  <c r="A93" i="1"/>
  <c r="A281" i="1"/>
  <c r="A41" i="1"/>
  <c r="A321" i="1"/>
  <c r="A216" i="1"/>
  <c r="A92" i="1"/>
  <c r="A22" i="1"/>
  <c r="A315" i="1"/>
  <c r="A307" i="1"/>
  <c r="A26" i="1"/>
  <c r="A147" i="1"/>
  <c r="A243" i="1"/>
  <c r="A228" i="1"/>
  <c r="A64" i="1"/>
  <c r="A338" i="1"/>
  <c r="A108" i="1"/>
  <c r="A153" i="1"/>
  <c r="A276" i="1"/>
  <c r="A287" i="1"/>
  <c r="A211" i="1"/>
  <c r="A88" i="1"/>
  <c r="A214" i="1"/>
  <c r="A210" i="1"/>
  <c r="A42" i="1"/>
  <c r="A189" i="1"/>
  <c r="A249" i="1"/>
  <c r="A299" i="1"/>
  <c r="A229" i="1"/>
  <c r="A286" i="1"/>
  <c r="A25" i="1"/>
  <c r="A225" i="1"/>
  <c r="A282" i="1"/>
  <c r="A239" i="1"/>
  <c r="A217" i="1"/>
  <c r="A329" i="1"/>
  <c r="A149" i="1"/>
  <c r="A215" i="1"/>
  <c r="A73" i="1"/>
  <c r="A293" i="1"/>
  <c r="A199" i="1"/>
  <c r="A194" i="1"/>
  <c r="A304" i="1"/>
  <c r="A306" i="1"/>
  <c r="A278" i="1"/>
  <c r="A166" i="1"/>
  <c r="A261" i="1"/>
  <c r="A303" i="1"/>
  <c r="A102" i="1"/>
  <c r="A75" i="1"/>
  <c r="A332" i="1"/>
  <c r="A240" i="1"/>
  <c r="A273" i="1"/>
  <c r="A271" i="1"/>
  <c r="A33" i="1"/>
  <c r="A184" i="1"/>
  <c r="A29" i="1"/>
  <c r="A68" i="1"/>
  <c r="A185" i="1"/>
  <c r="A127" i="1"/>
  <c r="A248" i="1"/>
  <c r="A222" i="1"/>
  <c r="A52" i="1"/>
  <c r="A32" i="1"/>
  <c r="A262" i="1"/>
  <c r="A173" i="1"/>
  <c r="A260" i="1"/>
  <c r="A96" i="1"/>
  <c r="A242" i="1"/>
  <c r="A176" i="1"/>
  <c r="A270" i="1"/>
  <c r="A198" i="1"/>
  <c r="A331" i="1"/>
  <c r="A11" i="1"/>
  <c r="A323" i="1"/>
  <c r="A37" i="1"/>
  <c r="A324" i="1"/>
  <c r="A79" i="1"/>
  <c r="A46" i="1"/>
  <c r="A266" i="1"/>
  <c r="A267" i="1"/>
  <c r="A316" i="1"/>
  <c r="A205" i="1"/>
  <c r="A136" i="1"/>
  <c r="A17" i="1"/>
  <c r="A121" i="1"/>
  <c r="A196" i="1"/>
  <c r="A49" i="1"/>
  <c r="A305" i="1"/>
  <c r="A169" i="1"/>
  <c r="A190" i="1"/>
  <c r="A252" i="1"/>
  <c r="A221" i="1"/>
  <c r="A156" i="1"/>
  <c r="A125" i="1"/>
  <c r="A113" i="1"/>
  <c r="A335" i="1"/>
  <c r="A258" i="1"/>
  <c r="A53" i="1"/>
  <c r="A14" i="1"/>
  <c r="A312" i="1"/>
  <c r="A144" i="1"/>
  <c r="A63" i="1"/>
  <c r="A334" i="1"/>
  <c r="A259" i="1"/>
  <c r="A101" i="1"/>
  <c r="A186" i="1"/>
  <c r="A164" i="1"/>
  <c r="A100" i="1"/>
  <c r="A308" i="1"/>
  <c r="A107" i="1"/>
  <c r="A207" i="1"/>
  <c r="A200" i="1"/>
  <c r="A292" i="1"/>
  <c r="A45" i="1"/>
  <c r="A128" i="1"/>
  <c r="A250" i="1"/>
  <c r="A284" i="1"/>
  <c r="A256" i="1"/>
  <c r="A39" i="1"/>
  <c r="A34" i="1"/>
  <c r="A181" i="1"/>
  <c r="A60" i="1"/>
  <c r="A289" i="1"/>
  <c r="A238" i="1"/>
  <c r="A255" i="1"/>
  <c r="A89" i="1"/>
  <c r="A132" i="1"/>
  <c r="A87" i="1"/>
  <c r="A201" i="1"/>
  <c r="A112" i="1"/>
  <c r="A336" i="1"/>
  <c r="A283" i="1"/>
  <c r="A44" i="1"/>
  <c r="A328" i="1"/>
  <c r="A31" i="1"/>
  <c r="A220" i="1"/>
  <c r="A141" i="1"/>
  <c r="A61" i="1"/>
  <c r="A104" i="1"/>
  <c r="A71" i="1"/>
  <c r="A234" i="1"/>
  <c r="A84" i="1"/>
  <c r="A134" i="1"/>
  <c r="A277" i="1"/>
  <c r="A322" i="1"/>
  <c r="A264" i="1"/>
  <c r="A309" i="1"/>
  <c r="A57" i="1"/>
  <c r="A40" i="1"/>
  <c r="A313" i="1"/>
  <c r="B204" i="1"/>
  <c r="B76" i="1"/>
  <c r="B161" i="1"/>
  <c r="B97" i="1"/>
  <c r="B139" i="1"/>
  <c r="B131" i="1"/>
  <c r="B19" i="1"/>
  <c r="B10" i="1"/>
  <c r="B291" i="1"/>
  <c r="B133" i="1"/>
  <c r="B148" i="1"/>
  <c r="B268" i="1"/>
  <c r="B155" i="1"/>
  <c r="B230" i="1"/>
  <c r="B165" i="1"/>
  <c r="B69" i="1"/>
  <c r="B237" i="1"/>
  <c r="B36" i="1"/>
  <c r="B51" i="1"/>
  <c r="B280" i="1"/>
  <c r="B119" i="1"/>
  <c r="B340" i="1"/>
  <c r="B224" i="1"/>
  <c r="B206" i="1"/>
  <c r="B288" i="1"/>
  <c r="B257" i="1"/>
  <c r="B326" i="1"/>
  <c r="B81" i="1"/>
  <c r="B342" i="1"/>
  <c r="B122" i="1"/>
  <c r="B219" i="1"/>
  <c r="B314" i="1"/>
  <c r="B246" i="1"/>
  <c r="B202" i="1"/>
  <c r="B78" i="1"/>
  <c r="B7" i="1"/>
  <c r="B157" i="1"/>
  <c r="B279" i="1"/>
  <c r="B129" i="1"/>
  <c r="B231" i="1"/>
  <c r="B35" i="1"/>
  <c r="B27" i="1"/>
  <c r="B302" i="1"/>
  <c r="B13" i="1"/>
  <c r="B209" i="1"/>
  <c r="B91" i="1"/>
  <c r="B74" i="1"/>
  <c r="B80" i="1"/>
  <c r="B117" i="1"/>
  <c r="B168" i="1"/>
  <c r="B178" i="1"/>
  <c r="B58" i="1"/>
  <c r="B90" i="1"/>
  <c r="B98" i="1"/>
  <c r="B135" i="1"/>
  <c r="B226" i="1"/>
  <c r="B227" i="1"/>
  <c r="B65" i="1"/>
  <c r="B162" i="1"/>
  <c r="B120" i="1"/>
  <c r="B16" i="1"/>
  <c r="B274" i="1"/>
  <c r="B327" i="1"/>
  <c r="B236" i="1"/>
  <c r="B180" i="1"/>
  <c r="B247" i="1"/>
  <c r="B179" i="1"/>
  <c r="B70" i="1"/>
  <c r="B241" i="1"/>
  <c r="B116" i="1"/>
  <c r="B56" i="1"/>
  <c r="B254" i="1"/>
  <c r="B297" i="1"/>
  <c r="B111" i="1"/>
  <c r="B130" i="1"/>
  <c r="B296" i="1"/>
  <c r="B160" i="1"/>
  <c r="B18" i="1"/>
  <c r="B83" i="1"/>
  <c r="B93" i="1"/>
  <c r="B281" i="1"/>
  <c r="B41" i="1"/>
  <c r="B321" i="1"/>
  <c r="B216" i="1"/>
  <c r="B92" i="1"/>
  <c r="B22" i="1"/>
  <c r="B315" i="1"/>
  <c r="B307" i="1"/>
  <c r="B26" i="1"/>
  <c r="B147" i="1"/>
  <c r="B243" i="1"/>
  <c r="B228" i="1"/>
  <c r="B64" i="1"/>
  <c r="B338" i="1"/>
  <c r="B108" i="1"/>
  <c r="B153" i="1"/>
  <c r="B276" i="1"/>
  <c r="B287" i="1"/>
  <c r="B211" i="1"/>
  <c r="B88" i="1"/>
  <c r="B214" i="1"/>
  <c r="B210" i="1"/>
  <c r="B42" i="1"/>
  <c r="B189" i="1"/>
  <c r="B249" i="1"/>
  <c r="B299" i="1"/>
  <c r="B229" i="1"/>
  <c r="B286" i="1"/>
  <c r="B25" i="1"/>
  <c r="B225" i="1"/>
  <c r="B282" i="1"/>
  <c r="B239" i="1"/>
  <c r="B217" i="1"/>
  <c r="B329" i="1"/>
  <c r="B149" i="1"/>
  <c r="B215" i="1"/>
  <c r="B73" i="1"/>
  <c r="B293" i="1"/>
  <c r="B199" i="1"/>
  <c r="B194" i="1"/>
  <c r="B304" i="1"/>
  <c r="B306" i="1"/>
  <c r="B278" i="1"/>
  <c r="B166" i="1"/>
  <c r="B261" i="1"/>
  <c r="B303" i="1"/>
  <c r="B102" i="1"/>
  <c r="B75" i="1"/>
  <c r="B332" i="1"/>
  <c r="B240" i="1"/>
  <c r="B273" i="1"/>
  <c r="B271" i="1"/>
  <c r="B33" i="1"/>
  <c r="B184" i="1"/>
  <c r="B29" i="1"/>
  <c r="B68" i="1"/>
  <c r="B185" i="1"/>
  <c r="B127" i="1"/>
  <c r="B248" i="1"/>
  <c r="B222" i="1"/>
  <c r="B52" i="1"/>
  <c r="B32" i="1"/>
  <c r="B262" i="1"/>
  <c r="B173" i="1"/>
  <c r="B260" i="1"/>
  <c r="B96" i="1"/>
  <c r="B242" i="1"/>
  <c r="B176" i="1"/>
  <c r="B270" i="1"/>
  <c r="B198" i="1"/>
  <c r="B331" i="1"/>
  <c r="B11" i="1"/>
  <c r="B323" i="1"/>
  <c r="B37" i="1"/>
  <c r="B324" i="1"/>
  <c r="B79" i="1"/>
  <c r="B46" i="1"/>
  <c r="B266" i="1"/>
  <c r="B267" i="1"/>
  <c r="B316" i="1"/>
  <c r="B205" i="1"/>
  <c r="B136" i="1"/>
  <c r="B17" i="1"/>
  <c r="B121" i="1"/>
  <c r="B196" i="1"/>
  <c r="B49" i="1"/>
  <c r="B305" i="1"/>
  <c r="B169" i="1"/>
  <c r="B190" i="1"/>
  <c r="B252" i="1"/>
  <c r="B221" i="1"/>
  <c r="B156" i="1"/>
  <c r="B125" i="1"/>
  <c r="B113" i="1"/>
  <c r="B335" i="1"/>
  <c r="B258" i="1"/>
  <c r="B53" i="1"/>
  <c r="B14" i="1"/>
  <c r="B312" i="1"/>
  <c r="B144" i="1"/>
  <c r="B63" i="1"/>
  <c r="B334" i="1"/>
  <c r="B259" i="1"/>
  <c r="B101" i="1"/>
  <c r="B186" i="1"/>
  <c r="B164" i="1"/>
  <c r="B100" i="1"/>
  <c r="B308" i="1"/>
  <c r="B107" i="1"/>
  <c r="B207" i="1"/>
  <c r="B200" i="1"/>
  <c r="B292" i="1"/>
  <c r="B45" i="1"/>
  <c r="B128" i="1"/>
  <c r="B250" i="1"/>
  <c r="B284" i="1"/>
  <c r="B256" i="1"/>
  <c r="B39" i="1"/>
  <c r="B34" i="1"/>
  <c r="B181" i="1"/>
  <c r="B60" i="1"/>
  <c r="B289" i="1"/>
  <c r="B238" i="1"/>
  <c r="B255" i="1"/>
  <c r="B89" i="1"/>
  <c r="B132" i="1"/>
  <c r="B87" i="1"/>
  <c r="B201" i="1"/>
  <c r="B112" i="1"/>
  <c r="B336" i="1"/>
  <c r="B283" i="1"/>
  <c r="B44" i="1"/>
  <c r="B328" i="1"/>
  <c r="B31" i="1"/>
  <c r="B220" i="1"/>
  <c r="B141" i="1"/>
  <c r="B61" i="1"/>
  <c r="B104" i="1"/>
  <c r="B71" i="1"/>
  <c r="B234" i="1"/>
  <c r="B84" i="1"/>
  <c r="B134" i="1"/>
  <c r="B277" i="1"/>
  <c r="B322" i="1"/>
  <c r="B264" i="1"/>
  <c r="B309" i="1"/>
  <c r="B57" i="1"/>
  <c r="B40" i="1"/>
  <c r="B313" i="1"/>
  <c r="B3" i="1"/>
  <c r="B311" i="1"/>
  <c r="B138" i="1"/>
  <c r="B212" i="1"/>
  <c r="B203" i="1"/>
  <c r="B290" i="1"/>
  <c r="B339" i="1"/>
  <c r="B82" i="1"/>
  <c r="B94" i="1"/>
  <c r="B15" i="1"/>
  <c r="B43" i="1"/>
  <c r="B48" i="1"/>
  <c r="B317" i="1"/>
  <c r="B55" i="1"/>
  <c r="B137" i="1"/>
  <c r="B66" i="1"/>
  <c r="B213" i="1"/>
  <c r="B343" i="1"/>
  <c r="B245" i="1"/>
  <c r="B265" i="1"/>
  <c r="B72" i="1"/>
  <c r="B175" i="1"/>
  <c r="B86" i="1"/>
  <c r="B106" i="1"/>
  <c r="B123" i="1"/>
  <c r="B295" i="1"/>
  <c r="B263" i="1"/>
  <c r="B171" i="1"/>
  <c r="B150" i="1"/>
  <c r="B167" i="1"/>
  <c r="B77" i="1"/>
  <c r="B182" i="1"/>
  <c r="B9" i="1"/>
  <c r="B20" i="1"/>
  <c r="B103" i="1"/>
  <c r="B174" i="1"/>
  <c r="B319" i="1"/>
  <c r="B298" i="1"/>
  <c r="B114" i="1"/>
  <c r="B38" i="1"/>
  <c r="B223" i="1"/>
  <c r="B110" i="1"/>
  <c r="B115" i="1"/>
  <c r="B275" i="1"/>
  <c r="B310" i="1"/>
  <c r="B143" i="1"/>
  <c r="B95" i="1"/>
  <c r="B320" i="1"/>
  <c r="B197" i="1"/>
  <c r="B159" i="1"/>
  <c r="B235" i="1"/>
  <c r="B232" i="1"/>
  <c r="B163" i="1"/>
  <c r="B294" i="1"/>
  <c r="B151" i="1"/>
  <c r="B140" i="1"/>
  <c r="B272" i="1"/>
  <c r="B145" i="1"/>
  <c r="B109" i="1"/>
  <c r="B195" i="1"/>
  <c r="B330" i="1"/>
  <c r="B218" i="1"/>
  <c r="B233" i="1"/>
  <c r="B50" i="1"/>
  <c r="B105" i="1"/>
  <c r="B170" i="1"/>
  <c r="B177" i="1"/>
  <c r="B193" i="1"/>
  <c r="B301" i="1"/>
  <c r="B21" i="1"/>
  <c r="B188" i="1"/>
  <c r="B172" i="1"/>
  <c r="B99" i="1"/>
  <c r="B325" i="1"/>
  <c r="B191" i="1"/>
  <c r="B30" i="1"/>
  <c r="B333" i="1"/>
  <c r="B24" i="1"/>
  <c r="B67" i="1"/>
  <c r="B124" i="1"/>
  <c r="B183" i="1"/>
  <c r="B208" i="1"/>
  <c r="B154" i="1"/>
  <c r="B251" i="1"/>
  <c r="B192" i="1"/>
  <c r="B118" i="1"/>
  <c r="B187" i="1"/>
  <c r="B142" i="1"/>
  <c r="B318" i="1"/>
  <c r="B152" i="1"/>
  <c r="B47" i="1"/>
  <c r="B244" i="1"/>
  <c r="B28" i="1"/>
  <c r="B285" i="1"/>
  <c r="B126" i="1"/>
  <c r="B23" i="1"/>
  <c r="B158" i="1"/>
  <c r="B341" i="1"/>
  <c r="B85" i="1"/>
  <c r="B146" i="1"/>
  <c r="B253" i="1"/>
  <c r="B300" i="1"/>
  <c r="B62" i="1"/>
  <c r="B59" i="1"/>
  <c r="B54" i="1"/>
  <c r="B269" i="1"/>
  <c r="B337" i="1"/>
  <c r="B12" i="1"/>
  <c r="B8" i="1"/>
  <c r="A8" i="1"/>
  <c r="A311" i="1"/>
  <c r="A138" i="1"/>
  <c r="A212" i="1"/>
  <c r="A203" i="1"/>
  <c r="A290" i="1"/>
  <c r="A339" i="1"/>
  <c r="A82" i="1"/>
  <c r="A94" i="1"/>
  <c r="A15" i="1"/>
  <c r="A43" i="1"/>
  <c r="A48" i="1"/>
  <c r="A317" i="1"/>
  <c r="A55" i="1"/>
  <c r="A137" i="1"/>
  <c r="A66" i="1"/>
  <c r="A213" i="1"/>
  <c r="A343" i="1"/>
  <c r="A245" i="1"/>
  <c r="A265" i="1"/>
  <c r="A72" i="1"/>
  <c r="A175" i="1"/>
  <c r="A86" i="1"/>
  <c r="A106" i="1"/>
  <c r="A123" i="1"/>
  <c r="A295" i="1"/>
  <c r="A263" i="1"/>
  <c r="A171" i="1"/>
  <c r="A150" i="1"/>
  <c r="A167" i="1"/>
  <c r="A77" i="1"/>
  <c r="A182" i="1"/>
  <c r="A9" i="1"/>
  <c r="A20" i="1"/>
  <c r="A103" i="1"/>
  <c r="A174" i="1"/>
  <c r="A319" i="1"/>
  <c r="A298" i="1"/>
  <c r="A114" i="1"/>
  <c r="A38" i="1"/>
  <c r="A223" i="1"/>
  <c r="A110" i="1"/>
  <c r="A115" i="1"/>
  <c r="A275" i="1"/>
  <c r="A310" i="1"/>
  <c r="A143" i="1"/>
  <c r="A95" i="1"/>
  <c r="A320" i="1"/>
  <c r="A197" i="1"/>
  <c r="A159" i="1"/>
  <c r="A235" i="1"/>
  <c r="A232" i="1"/>
  <c r="A163" i="1"/>
  <c r="A294" i="1"/>
  <c r="A151" i="1"/>
  <c r="A140" i="1"/>
  <c r="A272" i="1"/>
  <c r="A145" i="1"/>
  <c r="A109" i="1"/>
  <c r="A195" i="1"/>
  <c r="A330" i="1"/>
  <c r="A218" i="1"/>
  <c r="A233" i="1"/>
  <c r="A50" i="1"/>
  <c r="A105" i="1"/>
  <c r="A170" i="1"/>
  <c r="A177" i="1"/>
  <c r="A193" i="1"/>
  <c r="A301" i="1"/>
  <c r="A21" i="1"/>
  <c r="A188" i="1"/>
  <c r="A172" i="1"/>
  <c r="A99" i="1"/>
  <c r="A325" i="1"/>
  <c r="A191" i="1"/>
  <c r="A30" i="1"/>
  <c r="A333" i="1"/>
  <c r="A24" i="1"/>
  <c r="A67" i="1"/>
  <c r="A124" i="1"/>
  <c r="A183" i="1"/>
  <c r="A208" i="1"/>
  <c r="A154" i="1"/>
  <c r="A251" i="1"/>
  <c r="A192" i="1"/>
  <c r="A118" i="1"/>
  <c r="A187" i="1"/>
  <c r="A142" i="1"/>
  <c r="A318" i="1"/>
  <c r="A152" i="1"/>
  <c r="A47" i="1"/>
  <c r="A244" i="1"/>
  <c r="A28" i="1"/>
  <c r="A285" i="1"/>
  <c r="A126" i="1"/>
  <c r="A23" i="1"/>
  <c r="A158" i="1"/>
  <c r="A341" i="1"/>
  <c r="A85" i="1"/>
  <c r="A146" i="1"/>
  <c r="A253" i="1"/>
  <c r="A300" i="1"/>
  <c r="A62" i="1"/>
  <c r="A59" i="1"/>
  <c r="A54" i="1"/>
  <c r="A269" i="1"/>
  <c r="A337" i="1"/>
  <c r="A12" i="1"/>
  <c r="B2" i="1" l="1"/>
  <c r="B4" i="1" s="1"/>
  <c r="B1" i="1"/>
</calcChain>
</file>

<file path=xl/sharedStrings.xml><?xml version="1.0" encoding="utf-8"?>
<sst xmlns="http://schemas.openxmlformats.org/spreadsheetml/2006/main" count="430" uniqueCount="379">
  <si>
    <t>Passed</t>
  </si>
  <si>
    <t>Failed</t>
  </si>
  <si>
    <t>No Action Required</t>
  </si>
  <si>
    <t>Remediations Required</t>
  </si>
  <si>
    <t>CIS Section</t>
  </si>
  <si>
    <t>Status</t>
  </si>
  <si>
    <t>Description</t>
  </si>
  <si>
    <t>"4.1.3.1 (L1) Ensure 'Prevent enabling lock screen camera' is set to 'Enabled': [PASSED]"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configuration profiles, set the following Settings Catalog path to Enabled
Administrative Templates\Control Panel\Personalization\Prevent enabling lock screen camera
Impact:
If you enable this setting, users will no longer be able to enable or disable lock screen camera access in PC Settings, and the camera cannot be invoked on the lock screen.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</si>
  <si>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"89.28 (L1) Ensure 'Modify Object Label' is set to 'No One':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configuration profiles, set the following Settings Catalog path to (&lt;![CDATA[]]&gt;) which equals No One
User Rights\Modify Object Label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</si>
  <si>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"15.1 (L1) Ensure 'Config refresh' is set to 'Enabled': [PASSED]"
This policy setting determines whether or not MDM policies are refreshed on the system.
The recommended state for this setting is: Enabled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Enabled
Config Refresh\Config refresh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'PASS'
Actual Value:
'PASS'</t>
  </si>
  <si>
    <t>"49.2 (L1) Ensure 'Accounts: Limit local account use of blank passwords to console logon only' is set to 'Enabled':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configuration profiles, set the following Settings Catalog path to Enabled :
Local Policies Security Options\Accounts: Limit local account use of blank passwords to console logon only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
Actual Value:
1</t>
  </si>
  <si>
    <t>"38.17 (L1) Ensure 'Enable Public Network Firewall: Allow Local Policy Merge' is set to 'False': [PASSED]"
This setting controls whether local administrators are allowed to create local firewall rules that apply together with firewall rules configured by Group Policy.
The recommended state for this setting is: False
Note: When the Allow Local Policy Merge setting is configured to False it's recommended to also configure the Disable Inbound Notifications setting to True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configuration profiles, set the following Settings Catalog path to False :
Firewall\Enable Public Network Firewall: Allow Local Policy Merge
Impact:
Administrators can still create firewall rules, but the rules will not be applied.
See Also:
https://workbench.cisecurity.org/benchmarks/21719
Reference:
800-171|3.13.1, 800-171|3.13.5, 800-171|3.13.6, 800-171r3|03.13.01, 800-171r3|03.13.06, 800-53|SC-7, 800-53|SC-7(5), 800-53r5|SC-7, 800-53r5|SC-7(5), CN-L3|7.1.2.2(c), CN-L3|8.1.10.6(j), CSCv7|9.4, CSCv7|11.3,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</si>
  <si>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"89.6 (L1) Ensure 'Change System Time' is set to 'Administrators, LOCAL SERVICE':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*S-1-5-32-544 and *S-1-5-19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configuration profiles, set the following Settings Catalog path to *S-1-5-32-544 and *S-1-5-19 (Administrators, LOCAL SERVICE).
User Rights\Change System Time
Note: Include only one User or Group per line in the Settings Catalog configuration screen.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Actual Value:
'administrators' &amp;&amp; 'local service'</t>
  </si>
  <si>
    <t>"105.2 (L1) Ensure 'Password Age Days' is set to 'Configured: 30 or fewer': [PASSED]"
This policy setting configures the Windows LAPS Password Settings policy for password age.
Because attackers can crack passwords, the more frequently the password is changed the less opportunity an attacker has to use a cracked password.
The recommended state for this setting is: Configured: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Age Days to Configured: 30 (or fewer)
Impact:
None - this is the default behavior, unless set to fewer than 30 days.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[7..30]
Actual Value:
7</t>
  </si>
  <si>
    <t>"4.11.15.3.1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Service\Setup\Control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</si>
  <si>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"4.11.36.4.3.2 (L1) Ensure 'Do not allow drive redirection' is set to 'Enabled': [PASSED]"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configuration profiles, set the following Settings Catalog path to Enabled
Administrative Templates\Windows Components\Remote Desktop Services\Remote Desktop Session Host\Device and Resource Redirection\Do not allow drive redirection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1
Actual Value:
1</t>
  </si>
  <si>
    <t>"4.5.1 (L1) Ensure 'MSS: (AutoAdminLogon) Enable Automatic Logon (not recommended)' is set to 'Disabled':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configuration profiles, set the following Settings Catalog path to `Disabled.
Administrative Templates\MSS (Legacy)\MSS: (AutoAdminLogon) Enable Automatic Logon (not recommended)
Impact:
None - this is the default behavior.
Warning:
Windows Autopilot - Policy Conflicts
: Windows Autopilot pre-provisioning doesn't work when this policy setting is Disabled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</si>
  <si>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"4.10.5.1 (L1) Ensure 'Encryption Oracle Remediation' is set to 'Enabled: Force Updated Clients': [PASSED]"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from Windows Vista onwards are affected by this vulnerability, and will be compatible with this recommendation provided that they have been patched at least through May 2018 (or later).
Solution:
To establish the recommended configuration via configuration profiles, set the following Settings Catalog path to Enabled: Force Updated Clients
Administrative Templates\System\Credentials Delegation\Encryption Oracle Remediation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https://workbench.cisecurity.org/benchmarks/21719
Reference:
800-53|SI-16, 800-53r5|SI-16, CSCv7|3.4, CSCv8|10.5, CSF2.0|PR.DS-10, GDPR|32.1.b, HIPAA|164.306(a)(1), ITSG-33|SI-16, LEVEL|1A
Policy Value:
0
Actual Value:
0</t>
  </si>
  <si>
    <t>"4.10.19.2 (L1) Ensure 'Turn off background refresh of Group Policy' is set to 'Disabled':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configuration profiles, set the following Settings Catalog path to Disabled
Administrative Templates\System\Group Policy\Turn off background refresh of Group
Impact:
None - this is the default behavior.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'HKLM\Software\Microsoft\Windows\CurrentVersion\Policies\System'
Actual Value:
'HKLM\Software\Microsoft\Windows\CurrentVersion\Policies\System_registry_does_not_exist'</t>
  </si>
  <si>
    <t>"89.34 (L1) Ensure 'Shut Down The System' is set to 'Administrators, Users': [FAILED]"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*S-1-5-32-544 *S-1-5-32-545 (Administrators, Users).
The ability to shut down a workstation should be available generally to Administrators and authorized users of that workstation, but not permitted for guests or unauthorized users - in order to prevent a Denial of Service attack.
Solution:
To establish the recommended configuration via configuration profiles, set the following Settings Catalog path to *S-1-5-32-544 *S-1-5-32-545 (Administrators, Users).
User Rights\Shut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'Users' &amp;&amp; 'Administrators'
Actual Value:
'backup operators' &amp;&amp; 'users' &amp;&amp; 'administrators'</t>
  </si>
  <si>
    <t>"4.10.26.5 (L1) Ensure 'Turn off app notifications on the lock screen' is set to 'Enabled': [PASSED]"
This policy setting allows you to prevent app notifications from appearing on the lock screen.
The recommended state for this setting is: Enabled
Warning: If the
Self Service Password Reset (SSPR)
feature is used in Microsoft Entra ID, an exception to this recommendation is needed as it's known to interfere with SSPR.
App notifications might display sensitive business or personal data.
Solution:
To establish the recommended configuration via configuration profiles, set the following Settings Catalog path to Enabled
Administrative Templates\System\Logon\Turn off app notifications on the lock screen
Impact:
No app notifications are displayed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1</t>
  </si>
  <si>
    <t>"6.27 (L1) Ensure 'System Audit System Integrity' is set to 'Success and Failure': [PASSED]"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</si>
  <si>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"4.11.3.1 (L1) Ensure 'Allow Microsoft accounts to be optional' is set to 'Enabled': [PASSED]"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configuration profiles, set the following Settings Catalog path to Enabled
Administrative Templates\Windows Components\App runtime\Allow Microsoft accounts to be optional
Impact:
Windows Store apps that typically require a Microsoft account to sign in will allow users to sign in with an enterprise account instead.
See Also:
https://workbench.cisecurity.org/benchmarks/21719
Reference:
800-171|3.1.1, 800-171r3|03.01.01, 800-53|AC-2(1), 800-53r5|AC-2(1), CN-L3|7.1.3.2(d), CSCv7|16.2,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</si>
  <si>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"49.3 (L1) Configure 'Accounts: Rename administrator account': [PASSED]"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configuration profiles, set the following Settings Catalog path:
Local Policies 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'\b[Aa]dmin(istrator)?'
Actual Value:
'nonsa'</t>
  </si>
  <si>
    <t>"105.6 (L1) Ensure 'Post Authentication Reset Delay' is set to 'Configured: 8 or fewer hours, but not 0': [PASSED]"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Configured: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Reset Delay to Configured: 8 (or fewer hours, but not 0)
Impact:
After 8 hours, the Windows LAPS managed account password will be reset and log off the system.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[1..8]
Actual Value:
8</t>
  </si>
  <si>
    <t>"50.1 (L1) Ensure 'Configure Lsa Protected Process is set to 'Enabled with UEFI Lock...': [PASSED]"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with UEFI lock. LSA will run as protected process and this configuration is UEFI locked
Provides added security for the credentials that LSA stores and manages. Enabling this setting with UEFI Lock prevents the setting from being changed remotely.
Solution:
To establish the recommended configuration via configuration profiles, set the following Settings Catalog path to Enabled with UEFI lock...
Local Security Authority\Configure Lsa Protected Process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
See Also:
https://workbench.cisecurity.org/benchmarks/21719
Reference:
800-53|SI-16, 800-53r5|SI-16, CSCv8|10.5, CSF2.0|PR.DS-10, GDPR|32.1.b, HIPAA|164.306(a)(1), ITSG-33|SI-16, LEVEL|1A
Policy Value:
1
Actual Value:
1</t>
  </si>
  <si>
    <t>"81.3 (L1) Ensure 'Computer Browser (Browser)' is set to 'Disabled' or 'Not Installed': [PASSED]"
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 will also remediate this recommendation. The feature is not installed by default starting with Windows 10 R1709.
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
Solution:
To establish the recommended configuration, set the following Custom Configuration Policy to 4 or confirm that the service is Not installed :
Name:  &lt;Enter name&gt;
Description: &lt;Enter Description&gt;
OMA-URI: ./Device/Vendor/MSFT/Policy/Config/SystemServices/ConfigureComputerBrowserServiceStartupMode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if(Test-Path -LiteralPath 'HKLM:\SYSTEM\CurrentControlSet\Services\Browser') {
    Set-ItemProperty -LiteralPath 'HKLM:\SYSTEM\CurrentControlSet\Services\Browser' -Name 'Start' -Value 4 -Verbose
}
Note: This service is not installed in Windows 10 R1709 and newer. Running the cmdlet Set-Service or Get-Service aganist 'Browser' will cause a inadvertent match against a similarly named service called bowser which also has the DisplayName of Browser which will then throw an error. bowser is actually the NT Lan Manager Datagram Receiver Driver Using the literal registry path above avoids that error.
Impact:
The list of computers and their shares on the network will not be updated or maintained.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</si>
  <si>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"4.11.8.1 (L1) Ensure 'Do not display the password reveal button' is set to 'Enabled': [PASSED]"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configuration profiles, set the following Settings Catalog path to Enabled
Administrative Templates\Windows Components\Credential User Interface\Do not display the password reveal button
Impact:
The password reveal button will not be displayed after a user types a password in the password entry text box.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1
Actual Value:
1</t>
  </si>
  <si>
    <t>"26.2 (L1) Ensure 'Device Password Enabled: Alphanumeric Device Password Required' is set to 'Password or Alphanumeric PIN required': [FAILED]"
This policy setting determines the type of PIN or password this is required on a system.
The recommended state for this setting is: Password or Alphanumeric PIN required
Note: This policy only applies if the DevicePasswordEnabled policy is set to 1 This is a pre-requisite for
Alphanumeric Device Password Required
in the settings catalog.
This is a pre-requisite for
Min Device Password Complex Characters
, which enforces a more complex local user and Microsoft account passwords.
Note: This setting has no impact on Entra ID accounts.
Solution:
To establish the recommended configuration via configuration profiles, set the following Settings Catalog path to Password or Alphanumeric PIN required :
Device Lock\Device Password Enabled: Alphanumeric Device Password Required
Impact:
If an organization is using Windows Hello for Business then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1
Actual Value:
NULL</t>
  </si>
  <si>
    <t>"4.11.18.1 (L1) Ensure 'Configure Windows Defender SmartScreen' is set to 'Enabled: Warn and prevent bypass': [FAILED]"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Defender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configuration profiles, set the following Settings Catalog path to Enabled: Warn and prevent bypass
Administrative Templates\Windows Components\File Explorer\Configure Windows Defender SmartScreen
Impact:
Users will be warned and prevented from running unrecognized programs downloaded from the Internet.
See Also:
https://workbench.cisecurity.org/benchmarks/21719
Reference:
800-53|SI-16, 800-53r5|SI-16, CSCv7|8.3, CSCv8|10.5, CSF2.0|PR.DS-10, GDPR|32.1.b, HIPAA|164.306(a)(1), ITSG-33|SI-16, LEVEL|1A
Policy Value:
1
Actual Value:
NULL</t>
  </si>
  <si>
    <t>"4.11.55.1.2 (L1) Ensure 'Allow unencrypted traffic' is set to 'Disabled': [PASSED]"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Client\Allow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</si>
  <si>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"6.13 (L1) Ensure 'Audit Security System Extension' is set to include 'Success': [PASSED]"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</si>
  <si>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"89.11 (L1) Ensure 'Create Token' is set to 'No One':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configuration profiles, set the following Settings Catalog path to (&lt;![CDATA[]]&gt;) which equals No One
User Rights\Create Token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</si>
  <si>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"80.7 (L1) Ensure 'Limit Diagnostic Log Collection' is set to 'Enabled': [PASSED]"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configuration profiles, set the following Settings Catalog path to Enabled :
System\Limit Diagnostic Log Collection
Impact:
Diagnostic logs and information such as crash dumps will not be collected for transmission to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</si>
  <si>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"24.2 (L1) Ensure 'Credential Guard' is set to 'Enabled with UEFI lock': [PASSED]"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Credential Guard cannot be disabled remotely.
Solution:
To establish the recommended configuration via configuration profiles, set the following Settings Catalog path to Enabled with UEFI lock :
Device Guard\Credential Guard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https://workbench.cisecurity.org/benchmarks/21719
Reference:
800-53|SI-16, 800-53r5|SI-16, CSCv7|8.3, CSCv8|10.5, CSF2.0|PR.DS-10, GDPR|32.1.b, HIPAA|164.306(a)(1), ITSG-33|SI-16, LEVEL|1A
Policy Value:
1
Actual Value:
1</t>
  </si>
  <si>
    <t>"22.11 (L1) Ensure 'ASR: Block executable content from email client and webmail' is set to 'Block': [PASSED]"
This rule blocks email opened within the Microsoft Outlook application, or Outlook.com and other popular webmail providers from propagating the following file types:
 - Executable files (such as .exe, .dll, or .scr)
 - Script files (such as a PowerShell .ps1, Visual Basic .vbs, or JavaScript .js file)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executable content from email client and webmail
Impact:
When a rule is triggered, a notification will be displayed from the Action Center.
See Also:
https://workbench.cisecurity.org/benchmarks/21719
Reference:
800-53|SI-16, 800-53r5|SI-16, CSCv7|8.3, CSCv8|10.5, CSF2.0|PR.DS-10, GDPR|32.1.b, HIPAA|164.306(a)(1), ITSG-33|SI-16, LEVEL|1A
Policy Value:
'\b(?i)be9ba2d9-53ea-4cdc-84e5-9b1eeee46550=1\b'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</si>
  <si>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"22.30 (L1) Ensure 'Quick Scan Include Exclusions' is set to '1': [PASSED]"
This policy setting manages whether or not Microsoft Defender Antivirus scans excluded files and directories when running a Quick Scan.
The recommended state for this setting is: If you set this setting to 1, all files and directories that are excluded from real-time protection using contextual exclusions are scanned during a quick scan
Note: As of the publication of this Benchmark, the setting configuration state in Intune is the sentence above after
The recommended state for this setting is:
and not
1
as the title states. This was done to keep title length to a minimum.
The Real-time Protection feature excludes some files and directories for contextual reasons. This setting ensures that these are scanned during a Quick Scan.
Solution:
To establish the recommended configuration via configuration profiles, set the following Settings Catalog path to If you set this setting to 1, all files and directories that are excluded from real-time protection using contextual exclusions are scanned during a quick scan
Defender\Quick Scan Include Exclusions
Impact:
A Quick Scan could take longer when including the contextually excluded files and directories.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</si>
  <si>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"4.11.10.3 (L1) Ensure 'Enable App Installer ms-appinstaller protocol' is set to 'Disabled': [PASSED]"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configuration profiles, set the following Settings Catalog path to Disabled :
Administrative Templates\Windows Components\Desktop App Installer\Enable App Installer ms-appinstaller protocol
Impact:
Users will not have the ability to use the ms-appinstaller protocol to install applications by clicking a link on a website.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</si>
  <si>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"26.9 (L1) Ensure 'Minimum Password Age' is set to '1 or more day(s)': [PASSED]"
This security setting determines the period of time (in days) that a password must be used before the user can change it. You can set a value between 1 and 998 days, or you can allow changes immediately by setting the number of days to 0.
The recommended state for this setting is: 1 or more day(s))
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configuration profiles, set the following Settings Catalog path to 1 (or more day(s)):
Device Lock\Minimum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1
Actual Value:
1</t>
  </si>
  <si>
    <t>"4.1.3.2 (L1) Ensure 'Prevent enabling lock screen slide show' is set to 'Enabled': [PASSED]"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configuration profiles, set the following Settings Catalog path to Enabled
Administrative Templates\Control Panel\Personalization\Prevent enabling lock screen slide show
Impact:
If you enable this setting, users will no longer be able to modify slide show settings in PC Settings, and no slide show will ever 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</si>
  <si>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"4.5.9 (L1) Ensure 'MSS: (SafeDllSearchMode) Enable Safe DLL search mode (recommended)' is set to 'Enabled': [PASSED]"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configuration profiles, set the following Settings Catalog path to Enabled
Administrative Templates\MSS (Legacy)\MSS: (SafeDllSearchMode) Enable Safe DLL search mode (recommended)
Impact:
None - this is the default behavior.
See Also:
https://workbench.cisecurity.org/benchmarks/21719
Reference:
800-53|SI-16, 800-53r5|SI-16, CSCv7|8.3, CSCv8|10.5, CSF2.0|PR.DS-10, GDPR|32.1.b, HIPAA|164.306(a)(1), ITSG-33|SI-16, LEVEL|1A
Policy Value:
1
Actual Value:
1</t>
  </si>
  <si>
    <t>"4.11.50.1 (L1) Ensure 'Enable MPR notifications for the system' is set to 'Disabled': [PASSED]"
This policy setting controls whether winlogon sends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this functionality can be used by legitimate applications, it can also be abused by attackers to harvest logon information.
Solution:
To establish the recommended configuration via configuration profiles, set the following Settings Catalog path to Disabled :
Administrative Templates\Windows Components\Windows Logon Options\Enable MPR notifications for the system
Impact:
Winlogon will not send Multiple Provider Router (MPR) notifications on the system. This setting may also cause issues with reconnecting to drives.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</si>
  <si>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"26.1 (L1) Ensure 'Device Password Enabled' is set to 'Enabled': [PASSED]"
This policy setting specifics whether device lock is enabled. when enabled, the following policy settings take effect on the system which are included in the Device Lock Section:
 - AllowSimpleDevicePassword
 - MinDevicePasswordLength
 - AlphanumericDevicePasswordRequired
 - MaxDevicePasswordFailedAttempts
 - MaxInactivityTimeDeviceLock
 - MinDevicePasswordComplexCharacters
The recommended state for this setting is: Enabled
This policy setting allows for the configuration of settings such as those contained in the password and device lock policy.
Solution:
To establish the recommended configuration via configuration profiles, set the following Settings Catalog path to `3Enabled:
Device Lock\Device Password Enabled
Impact:
This setting is not supported if MDMWinsOverGP is enabled. MDMWinsOverGP is a setting that ensures MDM policies win over Active Directory Group Policies.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PASSED
Actual Value:
PASSED</t>
  </si>
  <si>
    <t>"90.1 (L1) Ensure 'Hypervisor Enforced Code Integrity' is set to 'Enabled with UEFI lock': [PASSED]"
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Virtualization Based Protection of Code Integrity cannot be disabled remotely.
Solution:
To establish the recommended configuration via configuration profiles, set the following Settings Catalog path to Enabled with UEFI lock
Virtualization Based Technology\Hypervisor Enforced Code Integrity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</si>
  <si>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"89.14 (L1) Ensure 'Deny Local Log On' to include 'Guests': [PASSED]"
This security setting determines which users are prevented from logging on at the computer. This policy setting supersedes the Allow log on locally policy setting if an account is subject to both policies.
The recommended state for this setting is to include: *S-1-5-32-546 (Guests).
Important: If you apply this security policy to the Everyone group, no one will be able to log on locally.
Warning: The help text in Intune associated with this recommendation is for the setting,
Deny log on as a service
and not this setting.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(Guests).
User Rights\Deny Local Log On
Note: Include only one User or Group per line in the Settings Catalog configuration screen.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'guests'</t>
  </si>
  <si>
    <t>"6.4 (L1) Ensure 'Account Logon Logoff Audit Logoff' is set to include 'Success':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configuration profiles, set the following Settings Catalog path to Success
Auditing\Account Logon Logoff 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</si>
  <si>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"4.7.9 (L1) Ensure 'Manage processing of Queue-specific files: Manage processing of Queue-Specific files' is set to 'Enabled: Limit Queue-specific files to Color profiles': [PASSED]"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configuration profiles, set the following Settings Catalog path to Enabled: Limit Queue-specific files to Color profiles :
Administrative Templates\Printers\Manage processing of Queue-specific files: Manage processing of Queue-specific files
Impact:
None - this is default behavior.
See Also:
https://workbench.cisecurity.org/benchmarks/21719
Reference:
800-53|SI-16, 800-53r5|SI-16, CSCv7|8.3, CSCv8|10.5, CSF2.0|PR.DS-10, GDPR|32.1.b, HIPAA|164.306(a)(1), ITSG-33|SI-16, LEVEL|1A
Policy Value:
1
Actual Value:
1</t>
  </si>
  <si>
    <t>"49.14 (L1) Ensure 'Microsoft network client: Send unencrypted password to third-party SMB servers' is set to 'Disabled':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configuration profiles, set the following Settings Catalog path to Disabled :
Local Policies 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</si>
  <si>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"4.11.55.2.4 (L1) Ensure 'Disallow WinRM from storing RunAs credentials' is set to 'Enabled': [PASSED]"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configuration profiles, set the following Settings Catalog path to Enabled
Administrative Templates\Windows Components\Windows Remote Management (WinRM)\WinRM Service\Disallow WinRM from storing RunAs credentials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https://workbench.cisecurity.org/benchmarks/21719
Reference:
800-171|3.13.2, 800-171|3.13.5, 800-171r3|03.13.01, 800-53|SC-7(21), 800-53r5|SC-7(21), CN-L3|8.1.10.6(j), CSCv7|14.3, CSF|PR.AC-5, CSF|PR.DS-5, CSF2.0|DE.CM-01, CSF2.0|PR.DS-01, CSF2.0|PR.DS-02, CSF2.0|PR.DS-10, CSF2.0|PR.IR-01, GDPR|32.1.b, HIPAA|164.306(a)(1), ISO-27001-2022|A.5.14, ISO-27001-2022|A.8.16, ISO-27001-2022|A.8.20, ISO/IEC-27001|A.13.1.3, ITSG-33|SC-7, LEVEL|1A, NESA|T4.5.3, NIAv2|VL6, PCI-DSSv3.2.1|1.1, PCI-DSSv3.2.1|1.2, PCI-DSSv3.2.1|1.2.1, PCI-DSSv3.2.1|1.3, PCI-DSSv4.0|1.2.1, PCI-DSSv4.0|1.4.1, QCSC-v1|5.2.1, QCSC-v1|5.2.2, QCSC-v1|6.2, QCSC-v1|8.2.1, TBA-FIISB|43.1
Policy Value:
1
Actual Value:
1</t>
  </si>
  <si>
    <t>"6.5 (L1) Ensure 'Account Logon Logoff Audit Logon' is set to 'Success and Failure':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Logoff 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</si>
  <si>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"81.27 (L1) Ensure 'SSDP Discovery (SSDPSRV)' is set to 'Disabled': [PASSED]"
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./Device/Vendor/MSFT/Policy/Config/SystemServices/ConfigureSSDPDiscoveryServiceStartupMode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SSDPSRV -StartupType Disabled
Impact:
SSDP-based devices will not be discovered.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</si>
  <si>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"89.27 (L1) Ensure 'Modify Firmware Environment' is set to 'Administrators':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*S-1-5-32-544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configuration profiles, set the following Settings Catalog path to *S-1-5-32-544 (Administrators).
User Rights\Modify Firmware Environment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</si>
  <si>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"22.4 (L1) Ensure 'Allow Realtime Monitoring' is set to 'Allowed': [PASSED]"
This policy setting configures real-time protection prompts for known malware detection.
Microsoft Defender Antivirus alerts you when malware or potentially unwanted software attempts to install itself or to run on your computer.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Realtime Monitoring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</si>
  <si>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"4.11.36.4.9.1 (L1) Ensure 'Always prompt for password upon connection' is set to 'Enabled': [PASSED]"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configuration profiles, set the following Settings Catalog path to Enabled
Administrative Templates\Windows Components\Remote Desktop Services\Remote Desktop Session Host\Security\Always prompt for password upon connection
Impact:
Users cannot automatically log on to Remote Desktop Services by supplying their passwords in the Remote Desktop Connection client. They will be prompted for a password to log on.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</si>
  <si>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"90.2 (L1) Ensure 'Require UEFI Memory Attributes Table' is set to 'Require UEFI Memory Attributes Table': [PASSED]"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Require UEFI Memory Attributes Table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This setting will help protect this control from being enabled on a system that is not compatible which could lead to a crash or data loss.
Solution:
To establish the recommended configuration via configuration profiles, set the following Settings Catalog path to Require UEFI Memory Attributes Table
Virtualization Based Technology\Require UEFI Memory Attributes Table
Impact: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All drivers on the system must be compatible with this feature or the system may crash. Ensure that this policy setting is only deployed to computers which are known to be compatible.
Warning #3 :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To work around this issue, the policies can be targeted to users instead of devices so that they apply later in the process. An exception to this recommendation may be needed if Windows AutoPilot is used.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https://workbench.cisecurity.org/benchmarks/21719
Reference:
800-53|SI-16, 800-53r5|SI-16, CSCv7|8.3, CSCv8|10.5, CSF2.0|PR.DS-10, GDPR|32.1.b, HIPAA|164.306(a)(1), ITSG-33|SI-16, LEVEL|1A
Policy Value:
1
Actual Value:
1</t>
  </si>
  <si>
    <t>"38.11 (L1) Ensure 'Enable Private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Private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</si>
  <si>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"22.20 (L1) Ensure 'ASR: Block untrusted and unsigned processes that run from USB' is set to 'Block': [PASSED]"
With this rule, admins can prevent unsigned or untrusted executable files from running from USB removable drives, including SD cards. Blocked file types include executable files (such as .exe, .dll, or .scr)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untrusted and unsigned processes that run from USB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'\b(?i)b2b3f03d-6a65-4f7b-a9c7-1c7ef74a9ba4=1\b'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</si>
  <si>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"49.26 (L1) Ensure 'Network Security Minimum Session Security For NTLMSSP Based Servers' is set to 'Require NTLM and 128-bit encryption': [PASSED]"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</si>
  <si>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"49.23 (L1) Ensure 'Network security: Do not store LAN Manager hash value on next password change' is set to 'Enabled':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configuration profiles, set the following Settings Catalog path to Enabled :
Local Policies 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1
Actual Value:
1</t>
  </si>
  <si>
    <t>"22.26 (L1) Ensure 'Enable Network Protection' is set to 'Enabled (block mode)': [PASSED]"
This policy setting controls Microsoft Defender Exploit Guard network protection.
The recommended state for this setting is: Enabled (block mode)
This setting can help prevent employees from using any application to access dangerous domains that may host phishing scams, exploit-hosting sites, and other malicious content on the Internet.
Solution:
To establish the recommended configuration via configuration profiles, set the following Settings Catalog path to Enabled (block mode) :
Defender\Enable Network Protection
Impact:
Users and applications will not be able to access dangerous domains.
See Also:
https://workbench.cisecurity.org/benchmarks/21719
Reference:
800-171|3.13.1, 800-171r3|03.13.01, 800-53|SC-7(3), 800-53|SC-7(4), 800-53|SI-16, 800-53r5|SC-7(3), 800-53r5|SC-7(4), 800-53r5|SI-16, CN-L3|8.1.10.6(j), CSCv7|7.4, CSCv7|8.3, CSCv8|9.3, CSCv8|10.5, CSF|PR.AC-5, CSF|PR.PT-4, CSF2.0|DE.CM-01, CSF2.0|PR.DS-01, CSF2.0|PR.DS-02, CSF2.0|PR.DS-10, CSF2.0|PR.IR-01, GDPR|32.1.b, HIPAA|164.306(a)(1), ISO-27001-2022|A.5.14, ISO-27001-2022|A.8.16, ISO-27001-2022|A.8.20, ISO/IEC-27001|A.13.1.3, ITSG-33|SC-7(3), ITSG-33|SC-7(4), ITSG-33|SI-16, LEVEL|1A, NESA|T4.5.4, NIAv2|GS1, NIAv2|GS2a, NIAv2|GS2b, PCI-DSSv3.2.1|1.1, PCI-DSSv3.2.1|1.2, PCI-DSSv3.2.1|1.2.1, PCI-DSSv3.2.1|1.3, PCI-DSSv4.0|1.2.1, PCI-DSSv4.0|1.4.1, QCSC-v1|5.2.1, QCSC-v1|5.2.2, QCSC-v1|6.2, QCSC-v1|8.2.1, SWIFT-CSCv1|1.1, TBA-FIISB|43.1, TBA-FIISB|44.1.2
Policy Value:
1
Actual Value:
1</t>
  </si>
  <si>
    <t>"89.10 (L1) Ensure 'Create Symbolic Links' is set to 'Administrators':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*S-1-5-32-544 (Administrators) and (when the
Hyper-V
feature is installed) *S-1-5-83-0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establish the recommended configuration via configuration profiles, set the following Settings Catalog path to *S-1-5-32-544 (Administrators) and optionally *S-1-5-83-0 (NT VIRTUAL MACHINE\Virtual Machines)
User Rights\Create Symbolic Links
Note: Include only one User or Group per line in the Settings Catalog configuration screen.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 ('Administrators' &amp;&amp; 'Virtual Machines') || ('Administrators' &amp;&amp; 'NT VIRTUAL MACHINE\Virtual Machines')
Actual Value:
'administrators'</t>
  </si>
  <si>
    <t>"22.12 (L1) Ensure 'ASR: Block executable files from running unless they meet a prevalence, age, or trusted list criterion' is set to 'Audit' or higher: [PASSED]"
This rule blocks executable files, such as .exe, .dll, or .scr, from launching. Thus, launching untrusted or unknown executable files can be risky, as it might not be initially clear if the files are malicious.
The recommended state for this setting is: Audit Configuring this setting to Block also conforms to the benchmark.
Note: Cloud-delivered protection must be enabled to use this rule.
Organizations may find implementing Block to be too strict, however in Audit mode there is still valuable information that can be logged for threat hunters to sift through and analyze.
Solution:
To establish the recommended configuration via configuration profiles, set the following Settings Catalog path to Audit or Block
Defender\Block executable files from running unless they meet a prevalence, age, or trusted list criterion
Impact:
In order to parse audit logs effectively an organization may need to implement a SIEM solution.
See Also:
https://workbench.cisecurity.org/benchmarks/21719
Reference:
800-53|SI-16, 800-53r5|SI-16, CSCv7|8.3, CSCv8|10.5, CSF2.0|PR.DS-10, GDPR|32.1.b, HIPAA|164.306(a)(1), ITSG-33|SI-16, LEVEL|1A
Policy Value:
'\b(?i)01443614-cd74-433a-b99e-2ecdc07bfc25=(1|2)\b'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</si>
  <si>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"22.1 (L1) Ensure 'Allow Behavior Monitoring' is set to 'Allowed': [PASSED]"
This policy setting allows you to configure behavior monitoring for Microsoft Defender Antivirus.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Behavior Monitoring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</si>
  <si>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"81.22 (L1) Ensure 'Routing and Remote Access (RemoteAccess)' is set to 'Disabled': [PASSED]"
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
Solution:
To establish the recommended configuration, set the following Custom Configuration Policy to 4 :
Name:  &lt;Enter name&gt;
Description: &lt;Enter Description&gt;
OMA-URI: ./Device/Vendor/MSFT/Policy/Config/SystemServices/ConfigureRoutingAndRemoteAccessServiceStartupMode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RemoteAccess -StartupType Disabled
Impact:
The computer will not be able to be configured as a Windows router between different connections.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</si>
  <si>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"22.6 (L1) Ensure 'Allow Script Scanning' is set to 'Allowed': [PASSED]"
This policy setting allows script scanning to be turned on/off. Script scanning intercepts scripts then scans them before they are executed on the system.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Script Scanning
Impact:
None - this is the default behavior.
See Also:
https://workbench.cisecurity.org/benchmarks/21719
Reference:
800-171|3.14.6, 800-171|3.14.7, 800-171r3|03.14.06, 800-53|SI-4, 800-53r5|SI-4, CN-L3|7.1.3.5(a), CN-L3|8.1.10.5(b), CN-L3|8.1.10.6(f), CSCv7|8.1, CSCv8|10.7,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</si>
  <si>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"4.11.55.2.3 (L1) Ensure 'Allow unencrypted traffic' is set to 'Disabled':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configuration profiles, set the following Settings Catalog path to Disabled
Administrative Templates\Windows Components\Windows Remote Management (WinRM)\WinRM Service\Allow unencrypted traffic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CSCv7|14.4,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</si>
  <si>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"38.9 (L1) Ensure 'Enable Private Network Firewall: Default Inbound Action for Private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Private Network Firewall: Default Inbound Action for Private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</si>
  <si>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"101.2 (L1) Ensure 'Allow Networking' is set to 'Not allowed': [PASSED]"
This policy setting enables or disables networking in the Windows Sandbox. Networking is achieved by creating a virtual switch on the host, and connecting the Windows Sandbox to it via a virtual Network Interface Card (NIC).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network access decreases the attack surface exposed by the Windows Sandbox and exposure of untrusted applications to the internal network.
Note: Per Microsoft, enabling networking in the Windows Sandbox can expose untrusted applications to the internal network.
Solution:
To establish the recommended configuration via configuration profiles, set the following Settings Catalog path to Not allowed
Windows Sandbox\Allow Networking
Impact:
Network access to/from the Windows Sandbox will be disabled. Therefore, files will not be able to be moved to/from the Windows Sandbox via the network.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</si>
  <si>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"49.9 (L1) Configure 'Interactive logon: Message text for users attempting to log on': [PASSED]"
This policy setting specifies a text message that displays to users when they log on. Set the following group policy to a value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configuration profiles, set the following Settings Catalog path to a value that is consistent with the security and operational requirements of your organization:
Local Policies Security Options\Interactive logon: Message text for users attempting to log on
Impact:
Users will have to acknowledge a dialog box containing the configured text before they can log on to the system.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https://workbench.cisecurity.org/benchmarks/21719
Reference:
800-171|3.1.9, 800-171r3|03.01.09, 800-53|AC-8, 800-53r5|AC-8, GDPR|32.1.b, HIPAA|164.306(a)(1), ISO-27001-2022|A.8.5, ITSG-33|AC-8, LEVEL|1A, NESA|M1.3.6, TBA-FIISB|45.2.4
Policy Value:
'This computer system is managed by the University of Mississippi Foundation. Access is hereby granted for authorized use only. By using this system, you acknowledge notice and acceptance of the UM Foundation Acceptable Use Policy.'
Actual Value:
'This computer system is managed by the University of Mississippi Foundation. Access is hereby granted for authorized use only. By using this system, you acknowledge notice and acceptance of the UM Foundation Acceptable Use Policy.'</t>
  </si>
  <si>
    <t>"49.24 (L1) Ensure 'Network security: LAN Manager authentication level' is set to 'Send LM and NTLMv2 responses only. Refuse LM and NTLM':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LM and NTLMv2 responses only. Refuse LM and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configuration profiles, set the following Settings Catalog path to: Send LM and NTLMv2 responses only. Refuse LM and NTLM :
Local Policies 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
Actual Value:
5</t>
  </si>
  <si>
    <t>"4.10.20.1.5 (L1) Ensure 'Turn off Internet download for Web publishing and online ordering wizards' is set to 'Enabled': [PASSED]"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configuration profiles, set the following Settings Catalog path to Enabled
Administrative Templates\System\Internet Communication Management\Internet Communication settings\Turn off Internet download for Web publishing and online ordering wizards
Impact:
Windows is prevented from downloading providers; only the service providers cached in the local registry are displayed.
See Also:
https://workbench.cisecurity.org/benchmarks/21719
Reference:
800-171|3.4.2, 800-171|3.4.6, 800-171|3.4.7, 800-171r3|03.04.02, 800-171r3|03.04.06, 800-53|CM-6, 800-53|CM-7, 800-53r5|CM-6, 800-53r5|CM-7, CSCv7|7.4, CSCv8|4.8, CSF|PR.IP-1, CSF|PR.PT-3, CSF2.0|DE.CM-09, CSF2.0|PR.PS-01, GDPR|32.1.b, HIPAA|164.306(a)(1), ISO-27001-2022|A.8.9, ITSG-33|CM-6, ITSG-33|CM-7, LEVEL|1A, NIAv2|SS15a, PCI-DSSv3.2.1|2.2.2, SWIFT-CSCv1|2.3
Policy Value:
1
Actual Value:
1</t>
  </si>
  <si>
    <t>"4.11.55.1.1 (L1) Ensure 'Allow Basic authentication' is set to 'Disabled': [PASSED]"
This policy setting allows you to manage whether the Windows Remote Management (WinRM) client uses Basic authentication.
The recommended state for this setting is: Disabled
Note: Clients that use Microsoft's Exchange Online service (Office 365) will require an exception to this recommendation, to instead have this setting set to Enabled. Exchange Online uses Basic authentication over HTTPS, and so the Exchange Online authentication traffic will still be safely encrypted.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Client\Allow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</si>
  <si>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"24.1 (L1) Ensure 'Configure System Guard Launch' is set to 'Unmanaged Enables Secure Launch if supported by hardware': [PASSED]"
Secure Launch protects the Virtualization Based Security environment from exploited vulnerabilities in device firmware.
The recommended state for this setting is: Unmanaged Enables Secure Launch if supported by hardware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
Solution:
To establish the recommended configuration via configuration profiles, set the following Settings Catalog path to Unmanaged Enables Secure Launch if supported by hardware :
Device Guard\Configure System Guard Launch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</si>
  <si>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"26.4 (L1) Ensure 'Device Password Enabled: Device Password Expiration' is set to '365 or fewer days, but not 0': [FAILED]"
This policy setting defines how long a user can use their password before it expires.
The recommended state for this setting is 365 or fewer days, but not 0
Note: Values for this policy setting range from 0 to 730 days. If this policy is set to the value 0, the password will never expire.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Solution:
To establish the recommended configuration via configuration profiles, set the following Settings Catalog path to 365 or fewer days, but not 0 :
Device Lock\Device Password Enabled: Device Password Expiration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CSCv7|16.10, CSCv8|5.2, CSF|PR.AC-1, CSF2.0|PR.AA-01, CSF2.0|PR.AA-03, GDPR|32.1.b, HIPAA|164.306(a)(1), HIPAA|164.312(a)(2)(i), HIPAA|164.312(d), ISO-27001-2022|A.5.16, ISO-27001-2022|A.5.17, ITSG-33|IA-5(1), LEVEL|1A, NESA|T5.2.3, QCSC-v1|5.2.2, QCSC-v1|13.2, SWIFT-CSCv1|4.1
Policy Value:
0
Actual Value:
NULL</t>
  </si>
  <si>
    <t>"38.7 (L1) Ensure 'Enable Domain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Domain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</si>
  <si>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"89.17 (L1) Ensure 'Deny Remote Desktop Services Log On' to include 'Guests, Local account': [PASSED]"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Caution #2: Configuring a cloud system workstation as described above may result in an inability log on to the workstation. In this case, Local Accounts need this ability for the log on to succeed.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configuration profiles, set the following Settings Catalog path to *S-1-5-32-546 and *S-1-5-113 (Guests, Local account).
User Rights\Deny Remote Desktop Services Log On
Note: Include only one User or Group per line in the Settings Catalog configuration screen.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</si>
  <si>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"4.5.10 (L1) Ensure 'MSS: (ScreenSaverGracePeriod) The time in seconds before the screen saver grace period expires (0 recommended)' is set to 'Enabled: 5 or fewer seconds': [PASSED]"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configuration profiles, set the following Settings Catalog path to Enabled: 5 or fewer seconds
Administrative Templates\MSS (Legacy)\MSS: (ScreenSaverGracePeriod) The time in seconds before the screen saver grace period expires (0 recommended)
Impact:
Users will have to enter their passwords to resume their console sessions as soon as the grace period ends after screen saver activation.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[0..5]
Actual Value:
5</t>
  </si>
  <si>
    <t>"38.2 (L1) Ensure 'Enable Domain Network Firewall: Default Inbound Action for Domain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Domain Network Firewall: Default Inbound Action for Domain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</si>
  <si>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"24.3 (L1) Ensure 'Enable Virtualization Based Security' is set to 'Enable virtualization based security': [PASSED]"
This policy setting specifies whether Virtualization Based Security is enabled. Virtualization Based Security uses the Windows Hypervisor to provide support for security services.
The recommended state for this setting is: Enable virtualization based security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
Solution:
To establish the recommended configuration via configuration profiles, set the following Settings Catalog path to Enable virtualization based security :
Device Guard\Enable Virtualization Based Security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1
Actual Value:
1</t>
  </si>
  <si>
    <t>"4.11.36.4.9.5 (L1) Ensure 'Set client connection encryption level' is set to 'Enabled: High Level': [PASSED]"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configuration profiles, set the following Settings Catalog path to Enabled: High Level
Administrative Templates\Windows Components\Remote Desktop Services\Remote Desktop Session Host\Security\Set client connection encryption level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3
Actual Value:
3</t>
  </si>
  <si>
    <t>"97.2 (L1) Ensure 'Facial Features Use Enhanced Anti Spoofing' is set to 'true': [PASSED]"
This policy setting determines whether enhanced anti-spoofing is configured for devices which support it.
The recommended state for this setting is: true
Enterprise managed environments are now supporting a wider range of mobile devices, increasing the security on these devices will help protect against unauthorized access on your network.
Solution:
To establish the recommended configuration via configuration profiles, set the following Settings Catalog path to true
Windows Hello For Business\Facial Features Use Enhanced Anti Spoofing
Impact:
Windows will require all users on the device to use anti-spoofing for facial features, on devices which support it.
See Also:
https://workbench.cisecurity.org/benchmarks/21719
Reference:
800-53|SC-39, 800-53|SI-16, 800-53r5|SC-39, 800-53r5|SI-16, CSCv7|8.3, CSF2.0|PR.DS-01, CSF2.0|PR.DS-10, CSF2.0|PR.IR-03, GDPR|32.1.b, HIPAA|164.306(a)(1), ITSG-33|SI-16, LEVEL|1A, QCSC-v1|5.2.1
Policy Value:
1
Actual Value:
1</t>
  </si>
  <si>
    <t>"38.5 (L1) Ensure 'Enable Domain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
Firewall\Enable Domain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</si>
  <si>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"4.7.1 (L1) Ensure 'Allow Print Spooler to accept client connections' is set to 'Disabled': [PASSED]"
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configuration profiles, set the following Settings Catalog path to Disabled
Administrative Templates\Printers\Allow Print Spooler to accept client connections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2
Actual Value:
2</t>
  </si>
  <si>
    <t>"103.3 (L1) Ensure 'Defer Quality Updates Period (Days)' is set to 'Enabled: 0 days': [PASSED]"
This policy settings controls when Quality Updates are received.
The recommended state for this setting is: Enabled: 0 days
Note: If the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configuration profiles, set the following Settings Catalog path to Enabled:0 days
Windows Update for Business\Defer Quality Updates Period (Days)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</si>
  <si>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"4.6.9.1 (L1) Ensure 'Prohibit installation and configuration of Network Bridge on your DNS domain network' is set to 'Enabled': [PASSED]"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configuration profiles, set the following Settings Catalog path to Enabled
Administrative Templates\Network\Network Connections\Prohibit installation and configuration of Network Bridge on your DNS domain network
Impact:
Users cannot create or configure a Network Bridge.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CSCv7|11.3,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0
Actual Value:
0</t>
  </si>
  <si>
    <t>"4.11.5.1 (L1) Ensure 'Do not preserve zone information in file attachments (User)' is set to 'Disabled': [PASSED]"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configuration profiles, set the following Settings Catalog path to Disabled
Administrative Templates\Windows Components\Attachment Manager\Do not preserve zone information in file attachments (User)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2
Actual Value:
Compliant items:</t>
  </si>
  <si>
    <t>"6.14 (L1) Ensure 'Audit Special Logon' is set to include 'Success': [PASSED]"
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</si>
  <si>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"34.1 (L1) Ensure 'Allow Cortana' is set to 'Block': [PASSED]"
This policy setting specifies whether Cortana is allowed on the device.
The recommended state for this setting is: Block
If Cortana is enabled, sensitive information could be contained in search history and sent out to Microsoft.
Solution:
To establish the recommended configuration via configuration profiles, set the following Settings Catalog path to Block :
Experience\Allow Cortana
Impact:
Cortana will be turned off. Users will still be able to use search to find things on the device and on the Internet.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</si>
  <si>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"38.22 (L1) Ensure 'Enable Public Network Firewall: Log File Path' is set to '%SystemRoot%\System32\logfiles\firewall\publicfw.log': [PASSED]"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%SystemRoot%\System32\logfiles\firewall\publicfw.log :
Firewall\Enable Public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'%SystemRoot%\System32\logfiles\firewall\publicfw.log'
Actual Value:
'%SystemRoot%\System32\logfiles\firewall\Publicfw.log'</t>
  </si>
  <si>
    <t>"22.15 (L1) Ensure 'ASR: Block Office applications from creating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creating executable content
Impact:
When a rule is triggered, a notification will be displayed from the Action Center.
See Also:
https://workbench.cisecurity.org/benchmarks/21719
Reference:
800-53|SI-16, 800-53r5|SI-16, CSCv7|8.3, CSCv8|10.5, CSF2.0|PR.DS-10, GDPR|32.1.b, HIPAA|164.306(a)(1), ITSG-33|SI-16, LEVEL|1A
Policy Value:
'\b(?i)3b576869-a4ec-4529-8536-b80a7769e899=1\b'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</si>
  <si>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"55.8 (L1) Ensure 'MSI Always install with elevated privileges (User)'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(User)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Compliant items:</t>
  </si>
  <si>
    <t>"38.6 (L1) Ensure 'Enable Domain Network Firewall: Log File Path' is set to '%SystemRoot%\System32\logfiles\firewall\domainfw.log': [PASSED]"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%SystemRoot%\System32\logfiles\firewall\domainfw.log :
Firewall\Enable Domain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'%SystemRoot%\System32\logfiles\firewall\domainfw.log'
Actual Value:
'%SystemRoot%\System32\logfiles\firewall\domainfw.log'</t>
  </si>
  <si>
    <t>"6.8 (L1) Ensure 'Audit Authorization Policy Change' is set to include 'Success': [PASSED]"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</si>
  <si>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"38.1 (L1) Ensure 'Enable Domain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
Firewall\Enable Domain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</si>
  <si>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"22.3 (L1) Ensure 'Allow Full Scan Removable Drive Scanning' is set to 'Allowed': [PASSED]"
This policy setting allows you to manage whether or not to scan for malicious software and unwanted software in the contents of removable drives, such as USB flash drives, when running a full scan.
The recommended state for this setting is: Allowed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configuration profiles, set the following Settings Catalog path to Allowed
Defender Antivirus\Allow Full Scan Removable Drive Scanning
Impact:
Removable drives will be scanned during any type of scan by Microsoft Defender Antivirus.
See Also:
https://workbench.cisecurity.org/benchmarks/21719
Reference:
800-171|3.8.7, 800-171|3.14.2, 800-171|3.14.4, 800-171|3.14.5, 800-171r3|03.08.07, 800-171r3|03.14.02, 800-53|MP-7, 800-53|SI-3, 800-53r5|MP-7, 800-53r5|SI-3, CN-L3|7.1.3.6(b), CN-L3|8.1.4.5, CN-L3|8.1.9.6(a), CN-L3|8.1.9.6(b), CN-L3|8.1.10.5(b), CN-L3|8.1.10.7(a), CN-L3|8.1.10.7(b), CN-L3|8.5.4.1(c), CSCv7|8.4, CSCv8|10.4, CSF|DE.CM-4, CSF|DE.DP-3, CSF|PR.PT-2, CSF2.0|PR.DS-01, CSF2.0|PR.DS-02, CSF2.0|PR.DS-10, GDPR|32.1.b, HIPAA|164.306(a)(1), HIPAA|164.312(a)(1), ISO-27001-2022|A.5.10, ISO-27001-2022|A.7.10, ISO-27001-2022|A.8.7, ISO/IEC-27001|A.8.3.1, ISO/IEC-27001|A.8.3.3, ISO/IEC-27001|A.12.2.1, ITSG-33|SI-3, LEVEL|1A, NESA|T1.4.1, NIAv2|GS8a, PCI-DSSv3.2.1|5.1, PCI-DSSv3.2.1|5.1.1, PCI-DSSv4.0|5.2.1, QCSC-v1|3.2, QCSC-v1|5.2.3, QCSC-v1|8.2.1, TBA-FIISB|49.2.1, TBA-FIISB|49.2.2, TBA-FIISB|49.3.1, TBA-FIISB|49.3.2, TBA-FIISB|50.2.1, TBA-FIISB|51.2.4, TBA-FIISB|51.2.7
Policy Value:
1
Actual Value:
1</t>
  </si>
  <si>
    <t>"89.35 (L1) Ensure 'Take Ownership' is set to 'Administrators': [PASSED]"
This policy setting allows users to take ownership of files, folders, registry keys, processes, or threads. This user right bypasses any permissions that are in place to protect objects to give ownership to the specified user.
The recommended state for this setting is: *S-1-5-32-544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configuration profiles, set the following Settings Catalog path to *S-1-5-32-544 (Administrators).
User Rights\Take Ownership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</si>
  <si>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"22.13 (L1) Ensure 'ASR: Block execution of potentially obfuscated scripts'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execution of potentially obfuscated scripts
Impact:
When a rule is triggered, a notification will be displayed from the Action Center.
See Also:
https://workbench.cisecurity.org/benchmarks/21719
Reference:
800-53|SI-16, 800-53r5|SI-16, CSCv7|8.3, CSCv8|10.5, CSF2.0|PR.DS-10, GDPR|32.1.b, HIPAA|164.306(a)(1), ITSG-33|SI-16, LEVEL|1A
Policy Value:
'\b(?i)5beb7efe-fd9a-4556-801d-275e5ffc04cc=(1|2)\b'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</si>
  <si>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"4.10.19.1 (L1) Ensure 'Continue experiences on this device' is set to 'Disabled': [PASSED]"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configuration profiles, set the following Settings Catalog path to Disabled
Administrative Templates\System\Group Policy\Continue experiences on this device
Impact:
The Windows device will not be discoverable by other devices, and cannot participate in cross-device experiences.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</si>
  <si>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"49.35 (L1) Ensure 'User Account Control: Virtualize file and registry write failures to per-user locations' is set to 'Enabled':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
Solution:
To establish the recommended configuration via configuration profiles, set the following Settings Catalog path to Enabled :
Local Policies Security Options\User Account Control: Virtualize file and registry write failures to per-user locations
Impact:
None - this is the default behavior.
See Also:
https://workbench.cisecurity.org/benchmarks/21719
Reference:
800-53|SC-29(1), 800-53r5|SC-29(1), GDPR|32.1.b, HIPAA|164.306(a)(1), ITSG-33|SC-29, ITSG-33|SC-29a., LEVEL|1A, QCSC-v1|5.2.1
Policy Value:
1
Actual Value:
1</t>
  </si>
  <si>
    <t>"4.6.18.1 (L1) Ensure 'Minimize the number of simultaneous connections to the Internet or a Windows Domain' is set to 'Enabled: 3 = Prevent Wi-Fi when on Ethernet': [PASSED]"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configuration profiles, set the following Settings Catalog path to Enabled: 3 = Prevent Wi-Fi when on Ethernet
Administrative Templates\Network\Windows Connection Manager\Minimize the number of simultaneous connections to the Internet or a Windows Domain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CSCv7|15.5,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
Actual Value:
3</t>
  </si>
  <si>
    <t>"89.1 (L1) Ensure 'Access Credential Manager As Trusted Caller' is set to 'No One':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configuration profiles, set the following Settings Catalog path to (&lt;![CDATA[]]&gt;) which represents No One
User Rights\Access Credential Manager As Trusted Caller
Note: Using (&lt;![CDATA[]]&gt;) to represent a blank value or No One is recommended by Microsoft. However, there is a known issue where an error occurs in Endpoint Manger (Intune) but this does not affect the policy setting from being applied properly to the system.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CSCv7|4.8,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</si>
  <si>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"6.16 (L1) Ensure 'Detailed Tracking Audit PNP Activity' is set to include 'Success': [PASSED]"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configuration profiles, set the following Settings Catalog path to Success
Auditing\Detailed Tracking 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</si>
  <si>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"4.6.4.1 (L1) Ensure 'Turn off multicast name resolution' is set to 'Enabled': [PASSED]"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configuration profiles, set the following Settings Catalog path to Enabled
Administrative Templates\Network\DNS Client\Turn off multicast name resolution
Impact:
In the event DNS is unavailable a system will be unable to request it from other systems on the same subnet.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</si>
  <si>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"22.19 (L1) Ensure 'ASR: Block process creations originating from PSExec and WMI commands' is set to 'Audit' or higher: [PASSED]"
This rule blocks processes created through PsExec and WMI from running. Both PsExec and WMI can remotely execute code.
The recommended state for this setting is: Audit Configuring this setting to Block also conforms to the benchmark.
There's a risk of malware abusing functionality of PsExec and WMI for command and control purposes, or to spread an infection throughout an organization's network.
Solution:
To establish the recommended configuration via configuration profiles, set the following Settings Catalog path to Audit or Block
Defender\Block process creations originating from PSExec and WMI commands
Impact:
Warning: Only use this rule if you're managing your devices with Intune or another MDM solution. This rule is incompatible with management through Microsoft Endpoint Configuration Manager because this rule blocks WMI commands the Configuration Manager client uses to function correctly.
It is recommended to start with Audit mode and move to Block.
See Also:
https://workbench.cisecurity.org/benchmarks/21719
Reference:
800-53|SI-16, 800-53r5|SI-16, CSCv7|8.3, CSCv8|10.5, CSF2.0|PR.DS-10, GDPR|32.1.b, HIPAA|164.306(a)(1), ITSG-33|SI-16, LEVEL|1A
Policy Value:
'\b(?i)d1e49aac-8f56-4280-b9ba-993a6d77406c=(1|2)\b'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</si>
  <si>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"105.4 (L1) Ensure 'Password Length' is set to 'Configured: 15 or more': [PASSED]"
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Configured: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Length to Configured: 15 (or more)
Impact:
Windows LAPS-generated passwords will be required to have a length of 15 characters (or more, if selected).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[15..4294967295]
Actual Value:
15</t>
  </si>
  <si>
    <t>"4.11.15.4.2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Service\System\Specify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204800</t>
  </si>
  <si>
    <t>"22.7 (L1) Ensure 'ASR: Block abuse of exploited vulnerable signed drivers' is set to 'Block': [PASSED]"
This rule prevents an application from writing a vulnerable signed driver to disk.
The recommended state for this setting is: Block
Note: The
Block abuse of exploited vulnerable signed drivers
rule does not block a driver that already exists on the system from being loaded.
Attack surface reduction helps prevent actions and apps that are typically used by exploit-seeking malware to infect systems.
Vulnerable signed drivers can be exploited by local applications that have sufficient privileges to gain access to the kernel. This enables attackers to disable or circumvent security solutions, eventually leading to system compromise.
Solution:
To establish the recommended configuration via configuration profiles, set the following Settings Catalog path to Block
Defender\Block abuse of exploited vulnerable signed drivers (Device)
Impact:
When a rule is triggered, a notification will be displayed from the Action Center.
See Also:
https://workbench.cisecurity.org/benchmarks/21719
Reference:
800-53|SI-16, 800-53r5|SI-16, CSCv7|8.3, CSCv8|10.5, CSF2.0|PR.DS-10, GDPR|32.1.b, HIPAA|164.306(a)(1), ITSG-33|SI-16, LEVEL|1A
Policy Value:
'\b(?i)56a863a9-875e-4185-98a7-b882c64b5ce5=1\b'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</si>
  <si>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"68.4 (L1) Ensure 'Let Apps Activate With Voice Above Lock' is set to 'Enabled: Force Deny': [FAILED]"
This policy setting specifies whether Windows apps can be activated by voice (apps and Cortana) while the system is locked.
The recommended state for this setting is: Enabled: Force Deny
Access to any computer resource should not be allowed when the device is locked.
Solution:
To establish the recommended configuration via configuration profiles, set the following Settings Catalog path to Enabled: Force Deny :
Privacy\Let Apps Activate With Voice Above Lock
Impact:
Users will not be able to activate apps while the computer is locked.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2
Actual Value:
NULL</t>
  </si>
  <si>
    <t>"89.16 (L1) Ensure 'Deny Log On As Service Job' to include 'Guests': [FAILED]"
This security setting determines which service accounts are prevented from registering a process as a service. This user right supersedes the Log on as a service user right if an account is subject to both policies.
The recommended state for this setting is to include: *S-1-5-32-546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configuration profiles, set the following Settings Catalog path to *S-1-5-32-546 (Guests).
User Rights\Deny Log On As Service Job
Impact:
If you assign the Deny log on as a service user right to specific accounts, services may not be able to start and a DoS condition could result.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NULL</t>
  </si>
  <si>
    <t>"4.10.31.1 (L1) Ensure 'Enable RPC Endpoint Mapper Client Authentication' is set to 'Enabled': [PASSED]"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 so we do not recommend applying it to Domain Controllers.
Note: This policy will not in effect until the system is rebooted.
The recommended state for this setting is: Enabled
Anonymous access to RPC services could result in accidental disclosure of information to unauthenticated users.
Solution:
To establish the recommended configuration via configuration profiles, set the following Settings Catalog path to Disa Enabled`ed.
Administrative Templates\System\Remote Procedure Call\Enable RPC Endpoint Mapper Client Authentication
Impact:
RPC clients will authenticate to the Endpoint Mapper Service for calls that contain authentication information. Clients making such calls will not be able to communicate with the Windows NT4 Server Endpoint Mapper Service.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</si>
  <si>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"4.10.29.5.2 (L1) Ensure 'Require a password when a computer wakes (plugged in)'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(plugged in)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</si>
  <si>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"4.10.26.4 (L1) Ensure 'Enumerate local users on domain-joined computers' is set to 'Disabled': [PASSED]"
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Disabled
Administrative Templates\System\Logon\Enumerate local users on domain-joined computers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</si>
  <si>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"81.11 (L1) Ensure 'Microsoft FTP Service (FTPSVC)' is set to 'Disabled' or 'Not Installed': [PASSED]"
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./Device/Vendor/MSFT/Policy/Config/SystemServices/ConfigureMicrosoftFTPServiceStartupMode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FTPSVC -StartupType Disabled
Impact:
The computer will not function as an FTP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</si>
  <si>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"104.1 (L1) Ensure 'Require PIN For Pairing' is set to 'Enabled: Pairing ceremony for new devices will always require a PIN' OR 'All pairings will require PIN': [PASSED]"
This policy setting controls whether or not a PIN is required for pairing to a wireless display device.
The recommended state for this setting is: Enabled: Pairing ceremony for new devices will always require a PIN ' OR All pairings will require PIN
If this setting is not configured or disabled then a PIN would not be required when pairing wireless display devices to the system, increasing the risk of unauthorized use.
Solution:
To establish the recommended configuration via configuration profiles, set the following Settings Catalog path to Enabled: Pairing ceremony for new devices will always require a PIN ' OR All pairings will require PIN
Administrative Templates\Network\Wireless Display\Require pin pairing
Impact:
The pairing ceremony for connecting to new wireless display devices will always require a PIN.
See Also:
https://workbench.cisecurity.org/benchmarks/21719
Reference:
800-171|3.5.2, 800-171r3|03.05.12, 800-53|IA-5c., 800-53r5|IA-5c., CN-L3|7.1.2.7(d), CN-L3|8.1.4.1(a), CSF|PR.AC-1, CSF2.0|PR.AA-01, CSF2.0|PR.AA-03, GDPR|32.1.b, HIPAA|164.306(a)(1), HIPAA|164.312(a)(2)(i), HIPAA|164.312(d), ISO-27001-2022|A.5.16, ISO-27001-2022|A.5.17, ISO/IEC-27001|A.9.4.3, ITSG-33|IA-5c., LEVEL|1A, NESA|T5.2.1, NESA|T5.2.3, NESA|T5.5.2, NESA|T5.5.3, QCSC-v1|5.2.2, QCSC-v1|13.2
Policy Value:
1 || 2
Actual Value:
2</t>
  </si>
  <si>
    <t>"4.4.3 (L1) Ensure 'Configure SMB v1 server' is set to 'Disabled': [PASSED]"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Disabled
Administrative Templates\MS Security Guide\Configure SMB v1 server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0
Actual Value:
0</t>
  </si>
  <si>
    <t>"38.18 (L1) Ensure 'Enable Public Network Firewall: Default Inbound Action for Public Profile' is set to 'Block': [PASSED]"
This setting determines the behavior for inbound connections that do not match an inbound firewall rule.
The recommended state for this setting is: Block
If the firewall allows all traffic to access the system then an attacker may be more easily able to remotely exploit a weakness in a network service.
Solution:
To establish the recommended configuration via configuration profiles, set the following Settings Catalog path to Block :
Firewall\Enable Public Network Firewall: Default Inbound Action for Public Profile
Impact:
None - this is the default behavior.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</si>
  <si>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"4.11.10.2 (L1) Ensure 'Enable App Installer Hash Override' is set to 'Disabled': [PASSED]"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configuration profiles, set the following Settings Catalog path to Disabled :
Administrative Templates\Windows Components\Desktop App Installer\Enable App Installer Hash Override
Impact:
Users will not have the ability to override the SHA256 security validation.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</si>
  <si>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"22.22 (L1) Ensure 'ASR: Use advanced protection against ransomware' is set to 'Audit' or higher: [PASSED]"
This rule provides an extra layer of protection against ransomware. It uses both client and cloud heuristics to determine whether a file resembles ransomware. This rule doesn't block files that have one or more of the following characteristics:
The file has already been found to be unharmful in the Microsoft cloud.The file is a valid signed file.The file is prevalent enough to not be considered as ransomware.The rule tends to err on the side of caution to prevent ransomware.
The recommended state for this setting is: Audit Configuring this setting to Block also conforms to the benchmark.
Note: Cloud-delivered protection must be enabled to use this rule.
This ASR rule is can help an organization enhance it's protection against ransomware by using both cloud and local heuristics.
Note: Cloud-delivered protection must be enabled to use this rule.
Solution:
To establish the recommended configuration via configuration profiles, set the following Settings Catalog path to Audit or Block
Defender\Use advanced protection against ransomware
Impact:
Implementing this control could impact certain workflows, making it unsuitable for universal enforcement across the organization without first adding exceptions. Therefore, it is recommended to start in Audit mode and then move to Block mode after creating exceptions. This approach allows for a better understanding of the environment through extensive monitoring of the rule.
See Also:
https://workbench.cisecurity.org/benchmarks/21719
Reference:
800-53|SI-16, 800-53r5|SI-16, CSCv7|8.3, CSCv8|10.5, CSF2.0|PR.DS-10, GDPR|32.1.b, HIPAA|164.306(a)(1), ITSG-33|SI-16, LEVEL|1A
Policy Value:
'\b(?i)c1db55ab-c21a-4637-bb3f-a12568109d35=(1|2)\b'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</si>
  <si>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"4.11.36.4.9.3 (L1) Ensure 'Require use of specific security layer for remote (RDP) connections' is set to 'Enabled: SSL': [PASSED]"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configuration profiles, set the following Settings Catalog path to Enabled: SSL
Administrative Templates\Windows Components\Remote Desktop Services\Remote Desktop Session Host\Security\Require use of specific security layer for remote (RDP) connections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2
Actual Value:
2</t>
  </si>
  <si>
    <t>"15.2 (L1) Ensure 'Refresh cadence' is set to '90' (or less): [FAILED]"
This policy setting determines how often MDM policies are refreshed on the system.
The recommended state for this setting is: 90 (or less).
Policy CSP settings should be set to refresh at regular intervals to ensure constant compliance and to reduce policy drift. This helps to ensure systems stay in compliance.
Solution:
To establish the recommended configuration via configuration profiles, set the following Settings Catalog path to 90 (or less).
Config Refresh\Refresh cadence
Note: The shortest configurable refresh interval is 30 minutes.
Impact:
Microsoft's tech community blog confirms that performance testing was done before the feature's release, showing minimal impact on CPU, RAM, and battery even when the refresh cadence is set to 30 minutes.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CSCv7|5.4,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'(3[0-9]|[4-8][0-9]|90)'
Actual Value:
'NULL'</t>
  </si>
  <si>
    <t>"6.21 (L1) Ensure 'Policy Change Audit MPSSVC Rule Level Policy Change' is set to 'Success and Failure': [PASSED]"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configuration profiles, set the following Settings Catalog path to Success and Failure
Auditing\Policy Change Audit MPSSVC Rule 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</si>
  <si>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"4.5.7 (L1) Ensure 'MSS: (NoNameReleaseOnDemand) Allow the computer to ignore NetBIOS name release requests except from WINS servers' is set to 'Enabled': [PASSED]"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configuration profiles, set the following Settings Catalog path to Enabled
Administrative Templates\MSS (Legacy)\MSS: (NoNameReleaseOnDemand) Allow the computer to ignore NetBIOS name release requests except from WINS servers
Impact:
None - this is the default behavior.
See Also:
https://workbench.cisecurity.org/benchmarks/21719
Reference:
800-171|3.1.16, 800-171|3.1.17, 800-171|3.4.1, 800-171|3.4.2, 800-171|3.4.6, 800-171|3.4.7, 800-171r3|03.01.16, 800-171r3|03.04.01, 800-171r3|03.04.02, 800-171r3|03.04.06, 800-53|AC-18, 800-53|AC-18(1), 800-53|AC-18(3), 800-53|CM-2, 800-53|CM-6, 800-53|CM-7, 800-53|CM-7(1), 800-53|CM-9, 800-53r5|AC-18, 800-53r5|AC-18(1), 800-53r5|AC-18(3), 800-53r5|CM-2, 800-53r5|CM-6, 800-53r5|CM-7, 800-53r5|CM-7(1), 800-53r5|CM-9, CSCv7|5.1, CSCv8|4.2, CSF|DE.AE-1, CSF|PR.DS-7, CSF|PR.IP-1, CSF|PR.PT-3, CSF|PR.PT-4, CSF2.0|DE.CM-09, CSF2.0|ID.AM-08, CSF2.0|PR.AA-05, CSF2.0|PR.PS-01, GDPR|32.1.b, HIPAA|164.306(a)(1), HIPAA|164.312(a)(1), ISO-27001-2022|A.5.2, ISO-27001-2022|A.5.14, ISO-27001-2022|A.8.9, ISO-27001-2022|A.8.20, ITSG-33|AC-18, ITSG-33|AC-18(1), ITSG-33|AC-18(3), ITSG-33|CM-2, ITSG-33|CM-6, ITSG-33|CM-7, ITSG-33|CM-7(1), ITSG-33|CM-9, LEVEL|1A, NESA|T1.2.1, NESA|T1.2.2, NESA|T3.2.5, NESA|T5.4.2, NESA|T7.5.1, NESA|T7.5.3, NESA|T7.6.1, NESA|T7.6.2, NESA|T7.6.3, NIAv2|NS33, NIAv2|NS34, NIAv2|NS38, NIAv2|SS15a, NIAv2|SS16, PCI-DSSv3.2.1|2.2.2, QCSC-v1|3.2, QCSC-v1|5.2.1, QCSC-v1|5.2.2, SWIFT-CSCv1|2.3
Policy Value:
1
Actual Value:
1</t>
  </si>
  <si>
    <t>"4.4.1 (L1) Ensure 'Apply UAC restrictions to local accounts on network logons' is set to 'Enabled': [PASSED]"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
Mitigating Pass-the-Hash (PtH) Attacks and Other Credential Theft Techniques
' documents.
For more information about LocalAccountTokenFilterPolicy see Microsoft Knowledge Base article 951016:
Description of User Account Control and remote restrictions in Windows Vista
.
The recommended state for this setting is: Enabled
Local accounts are at high risk for credential theft when the same account and password is configured on multiple systems. Ensuring this policy is Enabled significantly reduces that risk.
Solution:
To establish the recommended configuration via configuration profiles, set the following Settings Catalog path to Enabled
Administrative Templates\MS Security Guide\Apply UAC restrictions to local accounts on network logons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</si>
  <si>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"89.7 (L1) Ensure 'Create Global Objects' is set to 'Administrators, LOCAL SERVICE, NETWORK SERVICE, SERVICE':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*S-1-5-32-544 *S-1-5-19 *S-1-5-20 and *S-1-5-6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configuration profiles, set the following Settings Catalog path to *S-1-5-32-544 *S-1-5-19 *S-1-5-20 and *S-1-5-6 (Administrators, LOCAL SERVICE, NETWORK SERVICE, SERVICE).
User Rights\Create Global Objects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</si>
  <si>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"6.23 (L1) Ensure 'Privilege Use Audit Sensitive Privilege Use' is set to 'Success and Failure': [PASSED]"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Auditing\Privilege Use 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</si>
  <si>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"22.9 (L1) Ensure 'ASR: Block all Office applications from creating child processes' is set to 'Audit' or higher: [PASSED]"
This rule blocks Office apps from creating child processes. Office apps include Word, Excel, PowerPoint, OneNote, and Access.
Creating malicious child processes is a common malware strategy. Malware that abuses Office as a vector often runs VBA macros and exploit code to download and attempt to run more payloads. However, some legitimate line-of-business applications might also generate child processes for benign purposes; such as spawning a command prompt or using PowerShell to configure registry settings.
The recommended state for this setting is: Audit Configuring this setting to Block also conforms to the benchmark.
Attack surface reduction helps prevent actions and apps that are typically used by exploit-seeking malware to infect machines.
Solution:
To establish the recommended configuration via configuration profiles, set the following Settings Catalog path to Audit or Block
Defender\Block all Office applications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'\b(?i)d4f940ab-401b-4efc-aadc-ad5f3c50688a=(1|2)\b'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</si>
  <si>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"81.10 (L1) Ensure 'LxssManager (LxssManager)' is set to 'Disabled' or 'Not Installed': [PASSED]"
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
Windows Subsystem for Linux
).
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
Solution:
To establish the recommended configuration, set the following Custom Configuration Policy to 4 or confirm that the service is Not installed :
Name:  &lt;Enter name&gt;
Description: &lt;Enter Description&gt;
OMA-URI: ./Device/Vendor/MSFT/Policy/Config/SystemServices/ConfigureLxssManagerServiceStartupMode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LxssManager -StartupType Disabled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</si>
  <si>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"22.16 (L1) Ensure 'ASR: Block Office applications from injecting code into other processes' is set to 'Block': [PASSED]"
Attackers might attempt to use Office apps to migrate malicious code into other processes through code injection, so the code can masquerade as a clean process. There are no known legitimate business purposes for using code injection.
This rule applies to Word, Excel, OneNote, and PowerPoint.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Office applications from injecting code into other processes
Impact:
When a rule is triggered, a notification will be displayed from the Action Center.
Note: While Microsoft states that 'there are no known legitimate business purposes for using code injection', this ASR will trigger on legitimate processes so it is recommended to start in Audit mode before creating a list of exceptions and moving finally to Block
See Also:
https://workbench.cisecurity.org/benchmarks/21719
Reference:
800-53|SI-16, 800-53r5|SI-16, CSCv7|8.3, CSCv8|10.5, CSF2.0|PR.DS-10, GDPR|32.1.b, HIPAA|164.306(a)(1), ITSG-33|SI-16, LEVEL|1A
Policy Value:
'\b(?i)75668c1f-73b5-4cf0-bb93-3ecf5cb7cc84=1\b'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</si>
  <si>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"49.21 (L1) Ensure 'Network security: Allow Local System to use computer identity for NTLM' is set to 'Allow': [PASSED]"
This policy setting determines whether Local System services that use Negotiate when reverting to NTLM authentication can use the computer identity. This policy is supported on at least Windows 7 or Windows Server 2008 R2.
The recommended state for this setting is: Allow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configuration profiles, set the following Settings Catalog path to Allow :
Local Policies 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https://workbench.cisecurity.org/benchmarks/21719
Reference:
800-171r3|03.05.02, 800-53|IA-3, 800-53r5|IA-3, CSF|PR.AC-1, CSF2.0|PR.AA-01, CSF2.0|PR.AA-03, GDPR|32.1.b, HIPAA|164.306(a)(1), HIPAA|164.312(a)(2)(i), HIPAA|164.312(d), ITSG-33|IA-3, ITSG-33|IA-3a., LEVEL|1A, NESA|T5.4.3, QCSC-v1|13.2, TBA-FIISB|27.1
Policy Value:
1
Actual Value:
1</t>
  </si>
  <si>
    <t>"22.28 (L1) Ensure 'Oobe Enable Rtp And Sig Update' is set to 'Enabled': [PASSED]"
This policy setting configures whether Real-time Protection and Security Intelligence Updates are enabled during the Out of Box experience (OOBE).
The recommended state for this setting is: If you enable this setting, real-time protection and Security Intelligence Updates are enabled during OOBE.
Note: As of the publication of this Benchmark, the setting configuration state in Intune is the sentence above after
The recommended state for this setting is:
and not
Enabled
as the title states. This was done to keep title length to a minimum.
Critical Windows zero-day patch updates should be applied during OOBE to help mitigate against malicious attacks.
Solution:
To establish the recommended configuration via configuration profiles, set the following Settings Catalog path to If you enable this setting, real-time protection and Security Intelligence Updates are enabled during OOBE.
Defender\Oobe Enable Rtp And Sig Update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</si>
  <si>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"4.11.6.1 (L1) Ensure 'Disallow Autoplay for non-volume devices' is set to 'Enabled': [PASSED]"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configuration profiles, set the following Settings Catalog path to Enabled
Administrative Templates\Windows Components\AutoPlay Policies\Disallow Autoplay for non-volume devices
Impact:
AutoPlay will not be allowed for MTP devices like cameras or phones.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</si>
  <si>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"49.28 (L1) Ensure 'User Account Control: Behavior of the elevation prompt for administrators' is set to 'Prompt for consent on the secure desktop' or higher: [PASSED]"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configuration profiles, set the following Settings Catalog path to Prompt for consent on the secure desktop or Prompt for credentials on the secure desktop :
Local Policies Security Options\User Account Control: Behavior of the elevation prompt for administrators
Impact:
When an operation (including execution of a Windows binary) requires elevation of privilege, the user is prompted on the secure desktop to select either Permit or Deny. If the user selects Permit, the operation continues with the user's highest available privilege.
Warning:
Windows Autopilot - Policy Conflicts
: This policy requires a reboot to apply. As a result, prompts may appear when modifying user account control (UAC) settings during the Out of the Box Experience (OOBE) using the device Enrollment Status Page (ESP). Increased prompts are more likely if the device reboots after policies are applied.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 2
Actual Value:
2</t>
  </si>
  <si>
    <t>"4.7.7 (L1) Ensure 'Configure RPC over TCP port: RPC over TCP port:' is set to 'Enabled: 0': [PASSED]"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configuration profiles, set the following Settings Catalog path to Enabled: 0 :
Administrative Templates\Printers\Configure RPC over TCP port: RPC over TCP port
Impact:
If the current print environment is configured for a specific TCP port, this setting may require a firewall change (if applicable) for continued printing.
See Also:
https://workbench.cisecurity.org/benchmarks/21719
Reference:
800-171|3.4.2, 800-171r3|03.04.02a., 800-53|CM-6b., 800-53r5|CM-6b., CN-L3|8.1.10.6(d), CSF|PR.IP-1, CSF2.0|DE.CM-09, CSF2.0|PR.PS-01, GDPR|32.1.b, HIPAA|164.306(a)(1), ISO-27001-2022|A.8.9, ITSG-33|CM-6b., LEVEL|1A, NESA|T3.2.1, SWIFT-CSCv1|2.3
Policy Value:
0
Actual Value:
0</t>
  </si>
  <si>
    <t>"4.10.26.1 (L1) Ensure 'Block user from showing account details on sign-in' is set to 'Enabled': [PASSED]"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Administrative Templates\System\Logon\Block user from showing account details on sign-in
Impact:
Users cannot choose to show account details on the sign-in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1</t>
  </si>
  <si>
    <t>"81.38 (L1) Ensure 'World Wide Web Publishing Service (W3SVC)' is set to 'Disabled' or 'Not Installed': [PASSED]"
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./Device/Vendor/MSFT/Policy/Config/SystemServices/ConfigureWorldWideWebPublishingServiceStartupMode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W3SVC -StartupType Disabled
Impact:
IIS Web Services will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</si>
  <si>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"6.9 (L1) Ensure 'Audit Changes to Audit Policy' is set to include 'Success': [PASSED]"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Changes to Audit Policy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 failure'</t>
  </si>
  <si>
    <t>"105.3 (L1) Ensure 'Password Complexity' is set to 'Large letters + small letters + numbers + special characters': [FAILED]"
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Password Complexity to Large letters + small letters + numbers + special characters
Impact:
None - this is the default behavior.
See Also:
https://workbench.cisecurity.org/benchmarks/21719
Reference:
800-171|3.5.2, 800-171r3|03.05.07, 800-53|IA-5(1), 800-53r5|IA-5(1), CSCv7|4.4, CSCv8|5.2, CSF|PR.AC-1, CSF2.0|PR.AA-01, CSF2.0|PR.AA-03, GDPR|32.1.b, HIPAA|164.306(a)(1), HIPAA|164.312(a)(2)(i), HIPAA|164.312(d), ISO-27001-2022|A.5.16, ISO-27001-2022|A.5.17, ITSG-33|IA-5(1), LEVEL|1A, NESA|T5.2.3, QCSC-v1|5.2.2, QCSC-v1|13.2, SWIFT-CSCv1|4.1
Policy Value:
4
Actual Value:
5</t>
  </si>
  <si>
    <t>"49.15 (L1) Ensure 'Microsoft network server: Digitally sign communications (always)' is set to 'Enabled': [PASSED]"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</si>
  <si>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"38.20 (L1) Ensure 'Enable Public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Public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</si>
  <si>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"89.4 (L1) Ensure 'Allow Local Log On' is set to 'Administrators, Users': [PASSED]"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*S-1-5-32-544 *S-1-5-32-545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configuration profiles, set the following Settings Catalog path to *S-1-5-32-544 *S-1-5-32-545 (Administrators, Users).
User Rights\Allow Local Log On
Note: Include only one User or Group per line in the Settings Catalog configuration screen.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'Users'
Actual Value:
'users' &amp;&amp; 'administrators'</t>
  </si>
  <si>
    <t>"76.1.2 (L1) Ensure 'Notify Password Reuse' is set to 'Enabled': [PASSED]"
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
Solution:
To establish the recommended configuration via configuration profiles, set the following Settings Catalog path to Enabled :
Smart Screen\Enhanced Phishing Protection\Notify Password Reuse
Impact:
Password reuse may be detected as a false positive by Microsoft.
See Also:
https://workbench.cisecurity.org/benchmarks/21719
Reference:
800-53|SI-16, 800-53r5|SI-16, CSCv7|8.3, CSCv8|10.5, CSF2.0|PR.DS-10, GDPR|32.1.b, HIPAA|164.306(a)(1), ITSG-33|SI-16, LEVEL|1A
Policy Value:
1
Actual Value:
1</t>
  </si>
  <si>
    <t>"97.3 (L1) Ensure 'Minimum PIN Length' is set to '6 more character(s)': [PASSED]"
Minimum PIN length configures the minimum number of characters required for the PIN. The lowest number you can configure for this policy setting is 4. The largest number you can configure must be less than the number configured in the Maximum PIN length policy setting or the number 127, whichever is the lowest.
The recommended state for this setting is: 6 more character(s)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6 (or more character(s)):
Windows Hello For Business\Minimum PIN Length
Impact:
PIN theft is possible through shoulder surfing or other means of reconnaissance. Although this threat applies to passwords as well it is reduced with passphrases which involve complexity and length.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'^([6-9]|[1-9][0-9])$'
Actual Value:
'6'</t>
  </si>
  <si>
    <t>"4.11.15.2.2 (L1) Ensure 'Specify the maximum log file size (KB)' is set to 'Enabled: 196,608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196,608 or greater
Administrative Templates\Windows Components\Event Log Service\Security\Specify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[196608..4294967295]
Actual Value:
2097152</t>
  </si>
  <si>
    <t>"105.5 (L1) Ensure 'Post-authentication actions' is set to 'Reset the password and logoff the managed account' or higher: [PASSED]"
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type Local admin password solution (Windows LAPS)
 - Set Post Authentication Actions to Reset the password and logoff the managed account (or higher).
Note: Both Reset the password and logoff the managed account and Reset the password and reboot are considered passing states.
Impact:
After the grace period expires, the Windows LAPS managed account password will be reset and logged off the system or the OS will be restarted.
See Also:
https://workbench.cisecurity.org/benchmarks/21719
Reference:
800-171|3.5.2, 800-171r3|03.05.07, 800-53|IA-5(1), 800-53r5|IA-5(1), CSF|PR.AC-1, CSF2.0|PR.AA-01, CSF2.0|PR.AA-03, GDPR|32.1.b, HIPAA|164.306(a)(1), HIPAA|164.312(a)(2)(i), HIPAA|164.312(d), ISO-27001-2022|A.5.16, ISO-27001-2022|A.5.17, ITSG-33|IA-5(1), LEVEL|1A, NESA|T5.2.3, QCSC-v1|5.2.2, QCSC-v1|13.2, SWIFT-CSCv1|4.1
Policy Value:
3 || 5
Actual Value:
3</t>
  </si>
  <si>
    <t>"6.12 (L1) Ensure 'Audit Security Group Management' is set to include 'Success': [PASSED]"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</si>
  <si>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"49.10 (L1) Configure 'Interactive logon: Message title for users attempting to log on': [PASSED]"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configuration profiles, set the following Settings Catalog path to a value that is consistent with the security and operational requirements of your organization:
Local Policies Security Options\Interactive logon: Message title for users attempting to log on
Impact:
Users will have to acknowledge a dialog box with the configured title before they can log on to the computer.
Warning:
Windows Autopilot - Policy Conflicts
: Windows Autopilot pre-provisioning doesn't work when this policy setting is configured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See Also:
https://workbench.cisecurity.org/benchmarks/21719
Reference:
800-171|3.1.9, 800-171r3|03.01.09, 800-53|AC-8, 800-53r5|AC-8, GDPR|32.1.b, HIPAA|164.306(a)(1), ISO-27001-2022|A.8.5, ITSG-33|AC-8, LEVEL|1A, NESA|M1.3.6, TBA-FIISB|45.2.4
Policy Value:
'Login'
Actual Value:
'Login'</t>
  </si>
  <si>
    <t>"89.31 (L1) Ensure 'Remote Shutdown' is set to 'Administrators':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*S-1-5-32-544 (Administrators).
Any user who can shut down a computer could cause a DoS condition to occur. Therefore, this user right should be tightly restricted.
Solution:
To establish the recommended configuration via configuration profiles, set the following Settings Catalog path to *S-1-5-32-544 (Administrators).
User Rights\Remote Shutdown
Note: Include only one User or Group per line in the Settings Catalog configuration screen.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</si>
  <si>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"55.1 (L1) Ensure 'Allow apps from the Microsoft app store to auto update' is set to 'Allowed': [PASSED]"
This setting enables or disables the automatic download and installation of Microsoft Store app updates.
The recommended state for this setting is: Allowed
Keeping your system properly patched can help protect against 0 day vulnerabilities.
Solution:
To establish the recommended configuration via configuration profiles, set the following Settings Catalog path to Allowed :
Microsoft App Store\Allow apps from the Microsoft app store to auto update
Impact:
None - this is the default behavior.
See Also:
https://workbench.cisecurity.org/benchmarks/21719
Reference:
800-171|3.11.2, 800-171|3.11.3, 800-171|3.14.1, 800-171r3|03.11.02, 800-171r3|03.14.01, 800-53|RA-5, 800-53|SI-2, 800-53|SI-2(2), 800-53r5|RA-5, 800-53r5|RA-7, 800-53r5|SI-2, 800-53r5|SI-2(2), CN-L3|8.1.4.4(e), CN-L3|8.1.10.5(a), CN-L3|8.1.10.5(b), CN-L3|8.5.4.1(b), CN-L3|8.5.4.1(d), CN-L3|8.5.4.1(e), CSCv7|9.2,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</si>
  <si>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"38.16 (L1) Ensure 'Enable Public Network Firewall: Allow Local Ipsec Policy Merge' is set to 'False': [PASSED]"
This setting controls whether local administrators are allowed to create connection security rules that apply together with connection security rules configured by Group Policy.
The recommended state for this setting is: False
Users with administrative privileges might create firewall rules that expose the system to remote attack.
Solution:
To establish the recommended configuration via configuration profiles, set the following Settings Catalog path to False :
Firewall\Enable Public Network Firewall: Allow Local Ipsec Policy Merge
Impact:
Administrators can still create local connection security rules, but the rules will not be applied.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0
Actual Value:
0</t>
  </si>
  <si>
    <t>"4.11.15.1.1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Service\Application\Control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</si>
  <si>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"1.1 (L1) Ensure 'Allow Cortana Above Lock' is set to 'Block': [PASSED]"
This policy setting determines whether or not the user can interact with Cortana using speech while the system is locked.
The recommended state for this setting is: Block
Access to any computer resource should not be allowed when the device is locked.
Solution:
To establish the recommended configuration via configuration profiles, set the following Settings Catalog path to Block
Above Lock\Allow Cortana Above Lock
Impact:
The system will need to be unlocked for the user to interact with Cortana using speech.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0
Actual Value:
0</t>
  </si>
  <si>
    <t>"22.18 (L1) Ensure 'ASR: Block persistence through WMI event subscription' is set to 'Block': [PASSED]"
This rule prevents malware from abusing WMI to attain persistence on a device.
Note: If CcmExec.exe (SCCM Agent) is detected on the device, the ASR rule is classified as 'not applicable' in Defender for Endpoint settings in the Microsoft Defender portal.
The recommended state for this setting is: Block
Fileless threats employ various tactics to stay hidden, to avoid being seen in the file system, and to gain periodic execution control. Some threats can abuse the WMI repository and event model to stay hidden.
Solution:
To establish the recommended configuration via configuration profiles, set the following Settings Catalog path to Block
Defender\Block persistence through WMI event subscription
Impact:
When a rule is triggered, a notification will be displayed from the Action Center.
See Also:
https://workbench.cisecurity.org/benchmarks/21719
Reference:
800-53|SI-16, 800-53r5|SI-16, CSCv7|8.3, CSCv8|10.5, CSF2.0|PR.DS-10, GDPR|32.1.b, HIPAA|164.306(a)(1), ITSG-33|SI-16, LEVEL|1A
Policy Value:
'\b(?i)e6db77e5-3df2-4cf1-b95a-636979351e5b=1\b'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</si>
  <si>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"81.33 (L1) Ensure 'Windows Mobile Hotspot Service (icssvc)' is set to 'Disabled': [PASSED]"
Provides the ability to share a cellular data connection with another device.
The recommended state for this setting is: Disabled
The capability to run a mobile hotspot from a domain-connected computer could easily expose the internal network to wardrivers or other hackers.
Solution:
To establish the recommended configuration, set the following Custom Configuration Policy to 4 or confirm that the service is Not installed :
Name:  &lt;Enter name&gt;
Description: &lt;Enter Description&gt;
OMA-URI: ./Device/Vendor/MSFT/Policy/Config/SystemServices/ConfigureWindowsMobileHotspotServiceStartupMode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icssvc -StartupType Disabled
Impact:
The Windows Mobile Hotspot feature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</si>
  <si>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"6.19 (L1) Ensure 'Object Access Audit Other Object Access Events' is set to 'Success and Failure': [PASSED]"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configuration profiles, set the following Settings Catalog path to Success and Failure
Auditing\Object Access 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</si>
  <si>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"49.22 (L1) Ensure 'Network Security: Allow PKU2U authentication requests' is set to 'Block': [PASSED]"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Block
The PKU2U protocol is a peer-to-peer authentication protocol - authentication should be managed centrally in most managed networks.
Solution:
To establish the recommended configuration via configuration profiles, set the following Settings Catalog path to Block :
Local Policies Security Options\Network Security: Allow PKU2U authentication requests to this computer
Impact:
Remote Desktop connections from a Microsoft Entra hybrid joined server to a Microsoft Entra joined Windows 10 device or a Microsoft Entra hybrid joined Windows 10 device will fail if PKU2U is disabled.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CSCv7|9.2,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</si>
  <si>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"4.7.6 (L1) Ensure 'Configure RPC listener settings: Protocols to allow for incoming RPC connections' is set to 'Enabled: RPC over TCP': [PASSED]"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RCP over TCP :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5
Actual Value:
5</t>
  </si>
  <si>
    <t>"4.6.11.1 (L1) Ensure 'Hardened UNC Paths' is set to 'Enabled, with 'Require Mutual Authentication', 'Require Integrity', and 'Require Privacy' set for all NETLOGON and SYSVOL shares': [FAILED]"
This policy setting configures secure access to UNC paths.
The recommended state for this setting is: Enabled, with 'Require Mutual Authentication', 'Require Integrity', and 'Require Privacy' set for all NETLOGON and SYSVOL shares
Note: If the environment is 100% managed by Intune these shares will not be available. An exception to this recommendation will be needed.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configuration profiles, set the following Settings Catalog path to Enabled with the following paths configured, at a minimum:
\\*\NETLOGON RequireMutualAuthentication=1, RequireIntegrity=1, RequirePrivacy=1
\\*\SYSVOL RequireMutualAuthentication=1, RequireIntegrity=1, RequirePrivacy=1
Administrative Templates\Network\Network Provider\Hardened UNC Paths
Impact:
Windows only allows access to the specified UNC paths after fulfilling additional security requirements.
See Also:
https://workbench.cisecurity.org/benchmarks/21719
Reference:
800-171r3|03.05.02, 800-53|IA-3(1), 800-53r5|IA-3(1), CSF|PR.AC-1, CSF2.0|PR.AA-01, CSF2.0|PR.AA-03, GDPR|32.1.b, HIPAA|164.306(a)(1), HIPAA|164.312(a)(2)(i), HIPAA|164.312(d), ITSG-33|IA-3(1), LEVEL|1A, NESA|T5.4.3, QCSC-v1|13.2, TBA-FIISB|27.1
Policy Value:
FAILED
Actual Value:
All of the following must pass to satisfy this requirement:
-------------------------
FAILED - NETLOGON:
 Remote value: 'RequireMutualAuthentication=1,RequireIntegrity=1'
 Policy value: '[Rr]equire([Mm]utual[Aa]uthentication|[Ii]ntegrity|[Pp]rivacy)=1.*[Rr]equire([Mm]utual[Aa]uthentication|[Ii]ntegrity|[Pp]rivacy)=1.*[Rr]equire([Mm]utual[Aa]uthentication|[Ii]ntegrity|[Pp]rivacy)=1'
-------------------------
FAILED - SYSVOL:
 Remote value: 'RequireMutualAuthentication=1,RequireIntegrity=1'
 Policy value: '[Rr]equire([Mm]utual[Aa]uthentication|[Ii]ntegrity|[Pp]rivacy)=1.*[Rr]equire([Mm]utual[Aa]uthentication|[Ii]ntegrity|[Pp]rivacy)=1.*[Rr]equire([Mm]utual[Aa]uthentication|[Ii]ntegrity|[Pp]rivacy)=1'</t>
  </si>
  <si>
    <t>"89.18 (L1) Ensure 'Enable Delegation' is set to 'No One': [PASSED]"
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configuration profiles, set the following Settings Catalog path to (&lt;![CDATA[]]&gt;) which equals No One
User Rights\Enable Delegation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</si>
  <si>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"4.4.4 (L1) Ensure 'Enable Structured Exception Handling Overwrite Protection (SEHOP)' is set to 'Enabled': [PASSED]"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configuration profiles, set the following Settings Catalog path to Enabled
Administrative Templates\MS Security Guide\Enable Structured Exception Handling Overwrite Protection (SEHOP)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https://workbench.cisecurity.org/benchmarks/21719
Reference:
800-53|SI-16, 800-53r5|SI-16, CSCv7|8.3, CSCv8|10.5, CSF2.0|PR.DS-10, GDPR|32.1.b, HIPAA|164.306(a)(1), ITSG-33|SI-16, LEVEL|1A
Policy Value:
0
Actual Value:
0</t>
  </si>
  <si>
    <t>"38.23 (L1) Ensure 'Enable Public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Public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</si>
  <si>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"4.11.28.3.1 (L1) Ensure 'Configure local setting override for reporting to Microsoft MAPS' is set to 'Disabled': [PASSED]"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configuration profiles, set the following Settings Catalog path to Disabled
Administrative Templates\Windows Components\Microsoft Defender Antivirus\MAPS\Configure local setting override for reporting to Microsoft MAPS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</si>
  <si>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"4.11.8.3 (L1) Ensure 'Prevent the use of security questions for local accounts' is set to 'Enabled': [PASSED]"
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
Solution:
To establish the recommended configuration via configuration profiles, set the following Settings Catalog path to Enabled
Administrative Templates\Windows Components\Credential User Interface\Prevent the use of security questions for local accounts
Impact:
Local user accounts will not be able to set up and use security questions to reset their passwords.
See Also:
https://workbench.cisecurity.org/benchmarks/21719
Reference:
800-171|3.4.2, 800-171r3|03.04.02a., 800-53|CM-6b., 800-53r5|CM-6b., CN-L3|8.1.10.6(d), CSF|PR.IP-1, CSF2.0|DE.CM-09, CSF2.0|PR.PS-01, GDPR|32.1.b, HIPAA|164.306(a)(1), ISO-27001-2022|A.8.9, ITSG-33|CM-6b., LEVEL|1A, NESA|T3.2.1, SWIFT-CSCv1|2.3
Policy Value:
1
Actual Value:
1</t>
  </si>
  <si>
    <t>"4.11.15.2.1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Service\Security\Control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</si>
  <si>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"6.7 (L1) Ensure 'Audit Authentication Policy Change' is set to include 'Success': [PASSED]"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configuration profiles, set the following Settings Catalog path to Success
Auditing\Audit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</si>
  <si>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"22.32 (L1) Ensure 'Remote Encryption Protection Configured State' is set to 'Audit: Generate EDR detections without blocking' or higher: [PASSED]"
This policy setting configures the Brute-Force Protection feature in Microsoft Defender Antivirus. Brute-Force Protection can detect and block attempts to forcibly initiate sign-ins and sessions.
The recommended state for this setting is: Audit: Generate EDR detections without blocking Configuring this setting to Block: Prevent suspicious and malicious behaviors also conforms to the benchmark.
Note: Configuring the value to either Default or Off does not conform to this benchmark.
This feature assists with mitigating brute force attempts by detecting and blocking unauthorized sign-ins and sessions.
Solution:
To establish the recommended configuration via configuration profiles, set the following Settings Catalog path to Audit: Generate EDR detections without blocking or Block: Prevent suspicious and malicious behaviors
Defender\Remote Encryption Protection Configured State
Impact:
Legitimate sign-ins and sessions could be detected or blocked by this feature if too many failed attempts are detected.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 2
Actual Value:
1</t>
  </si>
  <si>
    <t>"26.5 (L1) Ensure 'Device Password Enabled: Device Password History' is set to '24 or more password(s)': [FAILED]"
This policy setting determines the number of renewed, unique passwords that have to be associated with a user account before you can reuse an old password. In an Intune managed environment this setting applies to local user accounts and not Entra ID accounts.
The value includes the user's current password. This value denotes that with a setting of 1 the user can't reuse their current password when choosing a new password, while a setting of 5 means that a user can't set their new password to their current password or any of their previous four passwords.
The recommended state for this setting is: 24 or more password(s)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configuration profiles, set the following Settings Catalog path to 24 or more password(s) :
Device Lock\Device Password Enabled: Device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Warning: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CSCv7|16.2, CSCv8|5.2, CSF|PR.AC-1, CSF2.0|PR.AA-01, CSF2.0|PR.AA-03, GDPR|32.1.b, HIPAA|164.306(a)(1), HIPAA|164.312(a)(2)(i), HIPAA|164.312(d), ISO-27001-2022|A.5.16, ISO-27001-2022|A.5.17, ITSG-33|IA-5(1), LEVEL|1A, NESA|T5.2.3, QCSC-v1|5.2.2, QCSC-v1|13.2, SWIFT-CSCv1|4.1
Policy Value:
0
Actual Value:
NULL</t>
  </si>
  <si>
    <t>"4.10.29.5.1 (L1) Ensure 'Require a password when a computer wakes (on battery)' is set to 'Enabled':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configuration profiles, set the following Settings Catalog path to Enabled
Administrative Templates\System\Power Management\Sleep Settings\Require a password when a computer wakes (on battery)
Impact:
None - this is the default behavior.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</si>
  <si>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"4.11.27.1 (L1) Ensure 'Block all consumer Microsoft account user authentication' is set to 'Enabled': [PASSED]"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configuration profiles, set the following Settings Catalog path to Enabled
Administrative Templates\Windows Components\Microsoft accounts\Block all consumer Microsoft account user authentication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https://workbench.cisecurity.org/benchmarks/21719
Reference:
800-171|3.1.1, 800-171r3|03.01.01, 800-53|AC-2(1), 800-53r5|AC-2(1), CN-L3|7.1.3.2(d), CSCv7|16.8,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</si>
  <si>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"4.11.36.4.9.4 (L1) Ensure 'Require user authentication for remote connections by using Network Level Authentication' is set to 'Enabled': [FAILED]"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configuration profiles, set the following Settings Catalog path to Enabled
Administrative Templates\Windows Components\Remote Desktop Services\Remote Desktop Session Host\Security\Require user authentication for remote connections by using Network Level Authentication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0</t>
  </si>
  <si>
    <t>"6.25 (L1) Ensure 'System Audit Other System Events' is set to 'Success and Failure': [PASSED]"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configuration profiles, set the following Settings Catalog path to Success and Failure
Auditing\System 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</si>
  <si>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"49.17 (L1) Ensure 'Network access: Do not allow anonymous enumeration of SAM accounts' is set to 'Enabled': [PASSED]"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</si>
  <si>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"49.18 (L1) Ensure 'Network access: Do not allow anonymous enumeration of SAM accounts and shares' is set to 'Enabled': [PASSED]"
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Enabled :
Local Policies 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</si>
  <si>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"4.10.44.1.2 (L1) Ensure 'Enable Windows NTP Server' is set to 'Disabled': [PASSED]"
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
Solution:
To establish the recommended configuration via configuration profiles, set the following Settings Catalog path to Disabled
Administrative Templates\System\Windows Time Service\Time Providers\Enable Windows NTP Server
Impact:
None - this is the default behavior.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0
Actual Value:
0</t>
  </si>
  <si>
    <t>"22.23 (L1) Ensure 'Days Until Aggressive Catchup Quick Scan' is set to '7 days' or fewer: [PASSED]"
This policy setting configures the number of days after the last scan (of any type) before an aggressive Quick Scan is automatically triggered.
The recommended state for this setting is: 7 days or fewer.
Antivirus scans should be performed on a regular basis so that malicious software can be detected and remediated before malicious activity occurs.
Solution:
To establish the recommended configuration via configuration profiles, set the following Settings Catalog path to 7 days or fewer.
Defender\Days Until Aggressive Catchup Quick Scan
Impact:
This setting should have no adverse effect on the system.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[1..7]
Actual Value:
7</t>
  </si>
  <si>
    <t>"6.10 (L1) Ensure 'Audit File Share Access' is set to 'Success and Failure': [PASSED]"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Solution:
To establish the recommended configuration via configuration profiles, set the following Settings Catalog path to Success and Failure
Auditing\Audit File Share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</si>
  <si>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"4.5.2 (L1) Ensure 'MSS: (DisableIPSourceRouting IPv6) IP source routing protection level (protects against packet spoofing)' is set to 'Enabled: Highest protection, source routing is completely disabled': [PASSED]"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IPv6)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</si>
  <si>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"81.26 (L1) Ensure 'Special Administration Console Helper (sacsvr)' is set to 'Disabled' or 'Not Installed': [PASSED]"
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
Solution:
To establish the recommended configuration, set the following Custom Configuration Policy to 4 or confirm that the service is Not installed :
Name:  &lt;Enter name&gt;
Description: &lt;Enter Description&gt;
OMA-URI:
       ./Device/Vendor/MSFT/Policy/Config/SystemServices/ConfigureSpecialAdministrationConsoleHelperServiceStartupMode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sacsvr -StartupType Disabled
Impact:
Users will not have access to a remote command prompt using Emergency Management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</si>
  <si>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"97.4 (L1) Ensure 'Require Security Device' is set to 'true': [PASSED]"
This policy controls whether a Trusted Platform Module (TPM) is required to provision Windows Hello for Business.
 - If you enable this policy setting, only devices with a usable TPM provision Windows Hello for Business.
 - If you disable or don't configure this policy setting, the TPM is still preferred, but all devices provision Windows Hello for Business using software if the TPM is non-functional or unavailable.
The recommended state for this setting is: true
Windows Hello for Business utilizes key-based or certificate-based authentication and makes credential theft extremely difficult.
When backed with a TPM chip multiple physical security mechanisms are added in order to make it tamper resistant.
Solution:
To establish the recommended configuration via configuration profiles, set the following Settings Catalog path to true :
Windows Hello For Business\Require Security Device
Impact:
If the TPM chip unexpectedly fails the user would be unable to authenticate using their PIN but would still be able to sign-in with their EntraID account password.
See Also:
https://workbench.cisecurity.org/benchmarks/21719
Reference:
800-171|3.5.1, 800-171r3|03.05.01a., 800-53|IA-2, 800-53r5|IA-2, CN-L3|7.1.3.1(a), CN-L3|7.1.3.1(e), CN-L3|8.1.4.1(a), CN-L3|8.1.4.2(a), CN-L3|8.5.4.1(a), CSF|PR.AC-1, CSF2.0|PR.AA-01, CSF2.0|PR.AA-03, GDPR|32.1.b, HIPAA|164.306(a)(1), HIPAA|164.312(a)(2)(i), HIPAA|164.312(d), ISO-27001-2022|A.5.16, ITSG-33|IA-2, ITSG-33|IA-2a., LEVEL|1A, NESA|T2.3.8, NESA|T5.3.1, NESA|T5.4.2, NESA|T5.5.1, NESA|T5.5.2, NESA|T5.5.3, NIAv2|AM2, NIAv2|AM8, NIAv2|AM14b, QCSC-v1|5.2.2, QCSC-v1|13.2, TBA-FIISB|35.1, TBA-FIISB|36.1
Policy Value:
'1'
Actual Value:
'1'</t>
  </si>
  <si>
    <t>"49.27 (L1) Ensure 'Network security: Restrict NTLM: Audit Incoming NTLM Traffic' is set to 'Enable auditing for all accounts': [PASSED]"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configuration profiles, set the following Settings Catalog path to Enable auditing for all accounts :
Local Policies Security Options\Network security: Restrict NTLM: Audit Incoming NTLM Traffic
Impact:
The event log will contain information on incoming NTLM authentication traffic.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2
Actual Value:
2</t>
  </si>
  <si>
    <t>"26.7 (L1) Ensure 'Device Password Enabled: Max Inactivity Time Device Lock' is set to '15 or fewer minutes, but not 0': [FAILED]"
Windows notices inactivity of a logon session, and if the amount of inactive time exceeds the inactivity limit, then the screen saver will run, locking the session.
The recommended state for this setting is: 15 or fewer minutes,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15 or fewer minutes, but not 0 :
Device Lock\Device Password Enabled: Max Inactivity Time Device Lock
Impact:
The screen saver will automatically activate when the computer has been unattended for the amount of time specified. The impact should be minimal since the screen saver is enabled by default.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[1..15]
Actual Value:
NULL</t>
  </si>
  <si>
    <t>"55.2 (L1) Ensure 'Allow Game DVR' is set to 'Block': [PASSED]"
This setting enables or disables the Windows Game Recording and Broadcasting features.
The recommended state for this setting is: Block
If this setting is allowed, users could record and broadcast session info to external sites, which is both a risk of accidentally exposing sensitive company data (on-screen) outside the company as well as a privacy concern.
Solution:
To establish the recommended configuration via configuration profiles, set the following Settings Catalog path to Block :
Microsoft App Store\Allow Game DVR
Impact:
Windows Game Recording will not be allowed.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</si>
  <si>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"26.6 (L1) Ensure 'Device Password Enabled: Max Device Password Failed Attempts' is set to '5 or fewer failed attempt(s), but not 0': [FAILED]"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When a user reaches the value set by this policy, the system is not wiped, instead the system will be in BitLocker recovery mode, which makes data inaccessible but recoverable. If BitLocker is not enabled, then this policy will not be enforced.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configuration profiles, set the following Settings Catalog path to 5 or fewer invalid logon attempt(s), but not 0 :
Device Lock\Device Password Enabled: Max Device Password Failed Attempts
Impact:
If this policy setting is enabled, a locked-out account will not be usable until it is reset by an administrator or until the account lockout duration expires. This setting may generate additional help desk calls.
If you enforce this setting an attacker could cause a denial-of-service condition by deliberately generating failed logons for multiple users,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https://workbench.cisecurity.org/benchmarks/21719
Reference:
800-171|3.1.8, 800-171|3.1.18, 800-171r3|03.01.08, 800-171r3|03.01.18, 800-53|AC-7, 800-53|AC-19, 800-53r5|AC-7, 800-53r5|AC-19, CN-L3|8.1.4.1(b), CSCv7|16.2, CSCv7|16.11, CSCv8|4.10, CSF|PR.AC-3, CSF2.0|PR.AA-03, CSF2.0|PR.AA-05, GDPR|32.1.b, HIPAA|164.306(a)(1), ISO-27001-2022|A.5.14, ISO-27001-2022|A.7.9, ISO-27001-2022|A.8.1, ISO-27001-2022|A.8.5, ISO/IEC-27001|A.6.2.1, ITSG-33|AC-7, ITSG-33|AC-19, LEVEL|1A, NIAv2|AM24, QCSC-v1|3.2, QCSC-v1|5.2.2, QCSC-v1|13.2, TBA-FIISB|36.2.4, TBA-FIISB|45.1.2
Policy Value:
[1..5]
Actual Value:
NULL</t>
  </si>
  <si>
    <t>"4.11.6.2 (L1) Ensure 'Set the default behavior for AutoRun' is set to 'Enabled: Do not execute any autorun commands': [PASSED]"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configuration profiles, set the following Settings Catalog path to Enabled: Do not execute any autorun commands
Administrative Templates\Windows Components\AutoPlay Policies\Set the default behavior for AutoRun
Impact:
AutoRun commands will be completely disabled.
See Also:
https://workbench.cisecurity.org/benchmarks/21719
Reference:
800-171|3.8.7, 800-171r3|03.08.07, 800-53|MP-7, 800-53r5|MP-7, CN-L3|8.5.4.1(c), CSCv7|8.5, CSCv8|10.3, CSF|PR.PT-2, GDPR|32.1.b, HIPAA|164.306(a)(1), HIPAA|164.312(a)(1), ISO-27001-2022|A.5.10, ISO-27001-2022|A.7.10, ISO/IEC-27001|A.8.3.1, ISO/IEC-27001|A.8.3.3, LEVEL|1A, NESA|T1.4.1
Policy Value:
1
Actual Value:
1</t>
  </si>
  <si>
    <t>"49.32 (L1) Ensure 'User Account Control: Use Admin Approval Mode' is set to 'Enabled': [PASSED]"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configuration profiles, set the following Settings Catalog path to Enabled :
Local Policies Security Options\User Account Control: Use Admin Approval Mode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https://workbench.cisecurity.org/benchmarks/21719
Reference:
800-171|3.5.2, 800-171r3|03.05.07, 800-53|IA-5(1), 800-53r5|IA-5(1), CSCv7|4.4, CSF|PR.AC-1, CSF2.0|PR.AA-01, CSF2.0|PR.AA-03, GDPR|32.1.b, HIPAA|164.306(a)(1), HIPAA|164.312(a)(2)(i), HIPAA|164.312(d), ISO-27001-2022|A.5.16, ISO-27001-2022|A.5.17, ITSG-33|IA-5(1), LEVEL|1A, NESA|T5.2.3, QCSC-v1|5.2.2, QCSC-v1|13.2, SWIFT-CSCv1|4.1
Policy Value:
1
Actual Value:
1</t>
  </si>
  <si>
    <t>"6.6 (L1) Ensure 'Account Management Audit Application Group Management' is set to 'Success and Failure': [PASSED]"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configuration profiles, set the following Settings Catalog path to Success and Failure
Auditing\Account Management 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</si>
  <si>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"4.10.26.6 (L1) Ensure 'Turn off picture password sign-in' is set to 'Enabled': [PASSED]"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configuration profiles, set the following Settings Catalog path to Enabled
Administrative Templates\System\Logon\Turn off picture password sign-in
Impact:
Users will not be able to set up or sign in with a picture password.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1
Actual Value:
1</t>
  </si>
  <si>
    <t>"72.2 (L1) Ensure 'Allow Indexing Encrypted Stores Or Items' is set to 'Block': [FAILED]"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Block
Indexing and allowing users to search encrypted files could potentially reveal confidential data stored within the encrypted files.
Solution:
To establish the recommended configuration via configuration profiles, set the following Settings Catalog path to Block :
Search\Allow Indexing Encrypted Stores Or Items
Impact:
None - this is the default behavior.
See Also:
https://workbench.cisecurity.org/benchmarks/21719
Reference:
800-171|3.4.2, 800-171|3.4.6, 800-171|3.4.7, 800-171r3|03.04.02, 800-171r3|03.04.06, 800-53|CM-6, 800-53|CM-7, 800-53r5|CM-6, 800-53r5|CM-7, CSCv7|14.8, CSCv8|4.8, CSF|PR.IP-1, CSF|PR.PT-3, CSF2.0|DE.CM-09, CSF2.0|PR.PS-01, GDPR|32.1.b, HIPAA|164.306(a)(1), ISO-27001-2022|A.8.9, ITSG-33|CM-6, ITSG-33|CM-7, LEVEL|1A, NIAv2|SS15a, PCI-DSSv3.2.1|2.2.2, SWIFT-CSCv1|2.3
Policy Value:
0
Actual Value:
1</t>
  </si>
  <si>
    <t>"89.13 (L1) Ensure 'Deny Access From Network' to include 'Guests, Local account': [PASSED]"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Computer From Network user right if an account is subject to both policies.
The recommended state for this setting is to include: *S-1-5-32-546 and *S-1-5-113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configuration profiles, set the following Settings Catalog path to *S-1-5-32-546 and *S-1-5-113 (Guests, Local account).
User Rights\Deny Access From Network
Note: Include only one User or Group per line in the Settings Catalog configuration screen.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&amp;&amp; 'Local account'
Actual Value:
'guests' &amp;&amp; 'local account'</t>
  </si>
  <si>
    <t>"6.1 (L1) Ensure 'Account Logon Audit Credential Validation' is set to 'Success and Failure':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Auditing\Account Logon 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</si>
  <si>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"6.20 (L1) Ensure 'Object Access Audit Removable Storage' is set to 'Success and Failure': [PASSED]"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configuration profiles, set the following Settings Catalog path to Success and Failure
Auditing\Object Access 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</si>
  <si>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"89.12 (L1) Ensure 'Debug Programs' is set to 'Administrators': [PASSED]"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*S-1-5-32-544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configuration profiles, set the following Settings Catalog path to *S-1-5-32-544 (Administrators).
User Rights\Debug Programs
Note: Include only one User or Group per line in the Settings Catalog configuration screen.
Impact:
If you revoke this user right, no one will be able to debug programs. However, typical circumstances rarely require this capability on production computers.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CSCv7|18.2,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</si>
  <si>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"22.21 (L1) Ensure 'ASR: Block Win32 API calls from Office macros' is set to 'Block': [FAILED]"
This rule prevents VBA macros from calling Win32 APIs. Office VBA enables Win32 API calls.
The recommended state for this setting is: Block
Malware can abuse VBA macro calls with various methods, such as calling Win32 APIs to launch malicious shellcode without writing anything directly to disk. Most organizations don't rely on the ability to call Win32 APIs in their day-to-day functioning, even if they use macros in other ways.
Solution:
To establish the recommended configuration via configuration profiles, set the following Settings Catalog path to Block
Defender\Block Win32 API calls from Office macros
Impact:
Files copied from the USB to the disk drive will be blocked by this rule if and when it's about to be executed on the disk drive.
See Also:
https://workbench.cisecurity.org/benchmarks/21719
Reference:
800-53|SI-16, 800-53r5|SI-16, CSCv7|8.3, CSCv8|10.5, CSF2.0|PR.DS-10, GDPR|32.1.b, HIPAA|164.306(a)(1), ITSG-33|SI-16, LEVEL|1A
Policy Value:
'\b(?i)92e97fa1-2edf-4476-bdd6-9dd0b4dddc7b=1\b'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</si>
  <si>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"4.5.5 (L1) Ensure 'MSS: (EnableICMPRedirect) Allow ICMP redirects to override OSPF generated routes' is set to 'Disabled': [PASSED]"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configuration profiles, set the following Settings Catalog path to Disabled
Administrative Templates\MSS (Legacy)\MSS: (EnableICMPRedirect) Allow ICMP redirects to override OSPF generated routes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CSCv8|4.1, CSCv8|4.8,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</si>
  <si>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"4.11.15.3.2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Service\Setup\Specify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</si>
  <si>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"4.11.36.3.2 (L1) Ensure 'Do not allow passwords to be saved' is set to 'Enabled': [PASSED]"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configuration profiles, set the following Settings Catalog path to Enabled
Administrative Templates\Windows Components\Remote Desktop Services\Remote Desktop Connection Client\Do not allow passwords to be saved
Impact:
The password saving checkbox will be disabled for Remote Desktop clients and users will not be able to save passwords.
See Also:
https://workbench.cisecurity.org/benchmarks/21719
Reference:
800-171|3.5.2, 800-171r3|03.05.12, 800-53|IA-5(13), 800-53r5|IA-5(13), CSF|PR.AC-1, CSF2.0|PR.AA-01, CSF2.0|PR.AA-03, GDPR|32.1.b, HIPAA|164.306(a)(1), HIPAA|164.312(a)(2)(i), HIPAA|164.312(d), ISO-27001-2022|A.5.16, ISO-27001-2022|A.5.17, ITSG-33|IA-5, LEVEL|1A, NESA|T5.2.3, QCSC-v1|5.2.2, QCSC-v1|13.2
Policy Value:
1
Actual Value:
1</t>
  </si>
  <si>
    <t>"81.39 (L1) Ensure 'Xbox Accessory Management Service (XboxGipSvc)' is set to 'Disabled': [PASSED]"
This service manages connected Xbox Accessories.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Accessory Management Service
Impact:
Connected Xbox accessories may not function.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</si>
  <si>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"4.9.1.1 (L1) Ensure 'Turn off toast notifications on the lock screen (User)' is set to 'Enabled': [PASSED]"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configuration profiles, set the following Settings Catalog path to Enabled
Administrative Templates\Start Menu and Taskbar\Notifications\Turn off toast notifications on the lock screen (User)
Impact:
Applications will not be able to raise toast notifications on the lock screen.
See Also:
https://workbench.cisecurity.org/benchmarks/21719
Reference:
800-171|3.4.2, 800-171|3.4.6, 800-171|3.4.7, 800-171r3|03.04.02, 800-171r3|03.04.06, 800-53|CM-6, 800-53|CM-7, 800-53r5|CM-6, 800-53r5|CM-7, CSCv7|16.11, CSCv8|4.8, CSF|PR.IP-1, CSF|PR.PT-3, CSF2.0|DE.CM-09, CSF2.0|PR.PS-01, GDPR|32.1.b, HIPAA|164.306(a)(1), ISO-27001-2022|A.8.9, ITSG-33|CM-6, ITSG-33|CM-7, LEVEL|1A, NIAv2|SS15a, PCI-DSSv3.2.1|2.2.2, SWIFT-CSCv1|2.3
Policy Value:
1
Actual Value:
Compliant items:</t>
  </si>
  <si>
    <t>"93.1 (L1) Ensure 'Allow Auto Connect To Wi Fi Sense Hotspots' is set to 'Block': [PASSED]"
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Block
Note: These features are also known by the name '
Wi-Fi Sense
'.
Automatically connecting to an open hotspot or network can introduce the system to a rogue network with malicious intent.
Solution:
To establish the recommended configuration via configuration profiles, set the following Settings Catalog path to Block
Wi-Fi Settings\Allow Auto Connect To Wi Fi Sense Hotspots
Impact:
Connect to suggested open hotspots
,
Connect to networks shared by my contacts
, and
Enable paid services
will each be turned off and users on the device will be prevented from enabling them.
See Also:
https://workbench.cisecurity.org/benchmarks/21719
Reference:
800-171|3.4.2, 800-171|3.4.6, 800-171|3.4.7, 800-171r3|03.04.02, 800-171r3|03.04.06, 800-53|CM-6, 800-53|CM-7, 800-53r5|CM-6, 800-53r5|CM-7, CSCv7|15.5, CSCv8|4.8, CSF|PR.IP-1, CSF|PR.PT-3, CSF2.0|DE.CM-09, CSF2.0|PR.PS-01, GDPR|32.1.b, HIPAA|164.306(a)(1), ISO-27001-2022|A.8.9, ITSG-33|CM-6, ITSG-33|CM-7, LEVEL|1A, NIAv2|SS15a, PCI-DSSv3.2.1|2.2.2, SWIFT-CSCv1|2.3
Policy Value:
0
Actual Value:
0</t>
  </si>
  <si>
    <t>"49.7 (L1) Ensure 'Interactive logon: Do not require CTRL+ALT+DEL' is set to 'Disabled': [FAILED]"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configuration profiles, set the following Settings Catalog path to Disabled :
Local Policies 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https://workbench.cisecurity.org/benchmarks/21719
Reference:
800-171|3.4.2, 800-171r3|03.04.02a., 800-53|CM-6b., 800-53r5|CM-6b., CN-L3|8.1.10.6(d), CSF|PR.IP-1, CSF2.0|DE.CM-09, CSF2.0|PR.PS-01, GDPR|32.1.b, HIPAA|164.306(a)(1), ISO-27001-2022|A.8.9, ITSG-33|CM-6b., LEVEL|1A, NESA|T3.2.1, SWIFT-CSCv1|2.3
Policy Value:
0
Actual Value:
1</t>
  </si>
  <si>
    <t>"4.11.31.1 (L1) Ensure 'Prevent users from sharing files within their profile. (User)' is set to 'Enabled': [PASSED]"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configuration profiles, set the following Settings Catalog path to Enabled
Administrative Templates\Windows Components\Network Sharing\Prevent users from sharing files within their profile. (User)
Impact:
Users cannot share files within their profile using the sharing wizard. Also, the sharing wizard cannot create a share at %root%\Users and can only be used to create SMB shares on folders.
See Also:
https://workbench.cisecurity.org/benchmarks/21719
Reference:
800-171|3.1.1, 800-171r3|03.01.02, 800-53|AC-3, 800-53r5|AC-3, CN-L3|8.1.4.2(f), CN-L3|8.1.4.11(b), CN-L3|8.1.10.2(c), CN-L3|8.5.3.1, CN-L3|8.5.4.1(a), CSCv7|14.6, CSF|PR.AC-4, CSF|PR.PT-3, CSF2.0|PR.AA-05, CSF2.0|PR.DS-10, CSF2.0|PR.IR-01, GDPR|32.1.b, HIPAA|164.306(a)(1), HIPAA|164.312(a)(1), ISO-27001-2022|A.5.15, ISO-27001-2022|A.5.33, ISO-27001-2022|A.8.3, ISO-27001-2022|A.8.18, ISO-27001-2022|A.8.20, ISO/IEC-27001|A.9.4.1, ISO/IEC-27001|A.9.4.5, ITSG-33|AC-3, LEVEL|1A, NESA|T4.2.1, NESA|T5.4.4, NESA|T5.4.5, NESA|T5.5.4, NESA|T5.6.1, NESA|T7.5.2, NESA|T7.5.3, NIAv2|AM3, NIAv2|SS29, QCSC-v1|3.2, QCSC-v1|5.2.2, QCSC-v1|13.2, TBA-FIISB|31.1
Policy Value:
1
Actual Value:
Compliant items:</t>
  </si>
  <si>
    <t>"4.5.13 (L1) Ensure 'MSS: (WarningLevel) Percentage threshold for the security event log at which the system will generate a warning' is set to 'Enabled: 90% or less': [PASSED]"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configuration profiles, set the following Settings Catalog path to Enabled: 90% or less
Administrative Templates\MSS (Legacy)\MSS: (WarningLevel) Percentage threshold for the security event log at which the system will generate a warning
Impact:
An audit event will be generated when the Security log reaches the 90% percent full threshold (or whatever lower value may be set) unless the log is configured to overwrite events as needed.
See Also:
https://workbench.cisecurity.org/benchmarks/21719
Reference:
800-53|AU-4, 800-53r5|AU-4, CSCv7|6.3, CSCv7|6.4, CSCv8|8.3, CSF|PR.DS-4, CSF|PR.PT-1, GDPR|32.1.b, HIPAA|164.306(a)(1), HIPAA|164.312(b), ISO-27001-2022|A.8.6, ITSG-33|AU-4, LEVEL|1A, NESA|T3.3.1, NESA|T3.6.2, QCSC-v1|8.2.1, QCSC-v1|13.2
Policy Value:
[1..90]
Actual Value:
90</t>
  </si>
  <si>
    <t>"89.32 (L1) Ensure 'Replace Process Level Token' is set to 'LOCAL SERVICE, NETWORK SERVICE': [PASSED]"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*S-1-5-19 *S-1-5-20 (LOCAL SERVICE, NETWORK SERVICE).
Note: This user right is considered a 'sensitive privilege' for the purposes of auditing.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configuration profiles, set the following Settings Catalog path to *S-1-5-19 *S-1-5-20 (LOCAL SERVICE, NETWORK SERVICE).
User Rights\Replace Process Level Token
Impact:
On most computers, this is the default configuration and there will be no negative impact. However, if you have installed
Web Server (IIS)
, you will need to allow the IIS application pool(s) to be granted this User Right Assignment.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</si>
  <si>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"89.23 (L1) Ensure 'Lock Memory' is set to 'No One':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
Solution:
To establish the recommended configuration via configuration profiles, set the following Settings Catalog path to (&lt;![CDATA[]]&gt;) which equals No One
User Rights\Lock Memory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</si>
  <si>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"4.6.9.3 (L1) Ensure 'Require domain users to elevate when setting a network's location' is set to 'Enabled': [PASSED]"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configuration profiles, set the following Settings Catalog path to Enabled
Administrative Templates\Network\Network Connections\Require domain users to elevate when setting a network's location
Impact:
Domain users must elevate when setting a network's location.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1
Actual Value:
1</t>
  </si>
  <si>
    <t>"22.8 (L1) Ensure 'ASR: Block Adobe Reader from creating child processes' is set to 'Block': [PASSED]"
This rule prevents attacks by blocking Adobe Reader from creating processes.
Malware can download and launch payloads and break out of Adobe Reader through social engineering or exploits. By blocking child processes from being generated by Adobe Reader, malware attempting to use Adobe Reader as an attack vector are prevented from spreading.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Adobe Reader from creating child processes
Impact:
When a rule is triggered, a notification will be displayed from the Action Center.
See Also:
https://workbench.cisecurity.org/benchmarks/21719
Reference:
800-53|SI-16, 800-53r5|SI-16, CSCv7|8.3, CSCv8|10.5, CSF2.0|PR.DS-10, GDPR|32.1.b, HIPAA|164.306(a)(1), ITSG-33|SI-16, LEVEL|1A
Policy Value:
'\b(?i)7674ba52-37eb-4a4f-a9a1-f0f9a1619a2c=1\b'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</si>
  <si>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"49.34 (L1) Ensure 'User Account Control: Run all administrators in Admin Approval Mode' is set to 'Enabled':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configuration profiles, set the following Settings Catalog path to Enabled :
Local Policies 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</si>
  <si>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"49.19 (L1) Ensure 'Network access: Restrict anonymous access to Named Pipes and Shares' is set to 'Enabled':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configuration profiles, set the following Settings Catalog path to Enabled :
Local Policies 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</si>
  <si>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"4.10.44.1.1 (L1) Ensure 'Enable Windows NTP Client' is set to 'Enabled': [PASSED]"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configuration profiles, set the following Settings Catalog path to Enabled
Administrative Templates\System\Windows Time Service\Time Providers\Enable Windows NTP Client
Impact:
System time will be synced to the configured NTP server(s).
See Also:
https://workbench.cisecurity.org/benchmarks/21719
Reference:
800-171|3.3.6, 800-171|3.3.7, 800-171r3|03.03.06a., 800-171r3|03.03.07, 800-53|AU-7, 800-53|AU-8, 800-53r5|AU-7, 800-53r5|AU-8, CN-L3|7.1.2.3(c), CN-L3|8.1.4.3(b), CSCv7|6.1, CSCv8|8.4, CSF|PR.PT-1, CSF|RS.AN-3, CSF2.0|PR.PS-04, CSF2.0|RS.AN-03, CSF2.0|RS.AN-06, CSF2.0|RS.AN-07, GDPR|32.1.b, HIPAA|164.306(a)(1), HIPAA|164.312(b), ISO-27001-2022|A.8.17, ITSG-33|AU-7, ITSG-33|AU-8, LEVEL|1A, NESA|T3.6.2, QCSC-v1|8.2.1, QCSC-v1|10.2.1, QCSC-v1|11.2, QCSC-v1|13.2, SWIFT-CSCv1|6.4, TBA-FIISB|37.4
Policy Value:
1
Actual Value:
1</t>
  </si>
  <si>
    <t>"105.1 (L1) Ensure 'Backup Directory' is set to 'Backup the password to Azure AD only': [PASSED]"
This policy setting configures which directory Windows LAPS will use to back up the local admin account password.
The recommended state for this setting is: Backup the password to Azure AD only
Note: Organizations that utilize third-party commercial software to manage unique &amp; complex local Administrator passwords on domain members may opt to disregard these LAPS recommendations.
 - Windows LAPS does not support standalone computers - they must be joined to an Active Directory domain or Entra ID (formerly Azure Active Directory).
 - Windows LAPS does not support simultaneous storage of the local admin password in both directory types.
 - If the setting is configured and the managed device is not joined to the configured directory type, the local administrator password will not be managed by Windows LAPS.
Important: An organization wishing to use Active Directory to backup the LAPS password may make an exception for this recommendation. To implement Active Directory backup see the latest on-premises CIS Benchmark for Windows 10/11. When backing up with Active Directory there are 2 additional security controls to be considered in the benchmark which are not available when using Azure AD for backup. These were excluded from the Intune benchmark as they cannot be selected unless Active Directory is selected as the backup location.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from Microsoft Intune Admin Center:
 - Navigate to Endpoint security &gt; Account protection
 - Create or edit a LAPS policy of the type Local admin password solution (Windows LAPS)
 - Set Backup Directory to Backup the password to Azure AD only
Impact:
The passwords managed by Windows LAPS will only be retrievable from the configured directory type.
See Also:
https://workbench.cisecurity.org/benchmarks/21719
Reference:
800-171|3.8.9, 800-171r3|03.08.09, 800-53|CP-9, 800-53r5|CP-9, CSF|PR.IP-4, CSF2.0|PR.DS-01, CSF2.0|PR.DS-10, CSF2.0|PR.DS-11, CSF2.0|RC.RP-03, GDPR|32.1.b, GDPR|32.1.c, HIPAA|164.306(a)(1), ISO-27001-2022|A.5.29, ISO-27001-2022|A.5.33, ISO-27001-2022|A.8.13, ISO/IEC-27001|A.12.3.1, ITSG-33|CP-9, LEVEL|1A, NESA|M5.2.3, NESA|T2.2.4
Policy Value:
1
Actual Value:
1</t>
  </si>
  <si>
    <t>"4.11.55.2.1 (L1) Ensure 'Allow Basic authentication' is set to 'Disabled': [PASSED]"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Disabled
Administrative Templates\Windows Components\Windows Remote Management (WinRM)\WinRM Service\Allow Basic authentication
Impact:
None - this is the default behavior.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</si>
  <si>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"22.14 (L1) Ensure 'ASR: Block JavaScript or VBScript from launching downloaded executable content' is set to 'Block': [PASSED]"
This rule prevents scripts from launching potentially malicious downloaded content. Malware written in JavaScript or VBScript often acts as a downloader to fetch and launch other malware from the Internet. Although not common, line-of-business applications sometimes use scripts to download and launch installers.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JavaScript or VBScript from launching downloaded executable content
Impact:
When a rule is triggered, a notification will be displayed from the Action Center.
See Also:
https://workbench.cisecurity.org/benchmarks/21719
Reference:
800-53|SI-16, 800-53r5|SI-16, CSCv7|8.3, CSCv8|10.5, CSF2.0|PR.DS-10, GDPR|32.1.b, HIPAA|164.306(a)(1), ITSG-33|SI-16, LEVEL|1A
Policy Value:
'\b(?i)d3e037e1-3eb8-44c8-a917-57927947596d=1\b'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</si>
  <si>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"81.28 (L1) Ensure 'UPnP Device Host (upnphost)' is set to 'Disabled': [PASSED]"
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
Solution:
To establish the recommended configuration, set the following Custom Configuration Policy to 4 :
Name:  &lt;Enter name&gt;
Description: &lt;Enter Description&gt;
OMA-URI: ./Device/Vendor/MSFT/Policy/Config/SystemServices/ConfigureUPnPDeviceHostServiceStartupMode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upnphost -StartupType Disabled
Impact:
Any hosted UPnP devices will stop functioning and no additional hosted devices can be added.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</si>
  <si>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"89.3 (L1) Ensure 'Act As Part Of The Operating System' is set to 'No One':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configuration profiles, set the following Settings Catalog path to (&lt;![CDATA[]]&gt;) which equals No One
User Rights\Act As Part Of The Operating System
Note: Using (&lt;![CDATA[]]&gt;) to represent a blank value or No One is recommended by Microsoft. However, there is a known issue where an error occurs in Endpoint Manger (Intune) but does not affect the policy setting from being applied to the system properly.
Impact:
There should be little or no impact because the Act as part of the operating system user right is rarely needed by any accounts other than the Local System account, which implicitly has this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</si>
  <si>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"49.1 (L1) Ensure 'Accounts: Enable Guest account status' is set to 'Disabled': [PASSED]"
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
Solution:
To establish the recommended configuration via configuration profiles, set the following Settings Catalog path to Disabled :
Local Policies 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
See Also:
https://workbench.cisecurity.org/benchmarks/21719
Reference:
800-171|3.5.2, 800-171r3|03.05.12, 800-53|IA-5, 800-53r5|IA-5, CSCv7|16.8, CSCv8|4.7, CSF|PR.AC-1, CSF2.0|PR.AA-01, CSF2.0|PR.AA-03, GDPR|32.1.b, HIPAA|164.306(a)(1), HIPAA|164.312(a)(2)(i), HIPAA|164.312(d), ISO-27001-2022|A.5.16, ISO-27001-2022|A.5.17, ITSG-33|IA-5, LEVEL|1A, NESA|T5.2.3, QCSC-v1|5.2.2, QCSC-v1|13.2
Policy Value:
'disabled'
Actual Value:
'disabled'</t>
  </si>
  <si>
    <t>"4.11.18.3 (L1) Ensure 'Turn off heap termination on corruption' is set to 'Disabled': [PASSED]"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configuration profiles, set the following Settings Catalog path to Disabled
Administrative Templates\Windows Components\File Explorer\Turn off heap termination on corruption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</si>
  <si>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"49.4 (L1) Configure 'Accounts: Rename guest account': [PASSED]"
The built-in local guest account is another well-known name to attackers. It is recommended to rename this account to something that does not indicate its purpose. Even if you disable this account, which is recommended, ensure that you rename it for added security.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configuration profiles, set the following Settings Catalog path:
Local Policies Security Options\Accounts: Rename guest account
Impact:
There should be little impact, because the Guest account is disabled by default.
See Also:
https://workbench.cisecurity.org/benchmarks/21719
Reference:
800-171|3.5.2, 800-171r3|03.05.12, 800-53|IA-5, 800-53r5|IA-5, CSCv8|4.7, CSF|PR.AC-1, CSF2.0|PR.AA-01, CSF2.0|PR.AA-03, GDPR|32.1.b, HIPAA|164.306(a)(1), HIPAA|164.312(a)(2)(i), HIPAA|164.312(d), ISO-27001-2022|A.5.16, ISO-27001-2022|A.5.17, ITSG-33|IA-5, LEVEL|1A, NESA|T5.2.3, QCSC-v1|5.2.2, QCSC-v1|13.2
Policy Value:
'Guest'
Actual Value:
'noguest'</t>
  </si>
  <si>
    <t>"46.1 (L1) Ensure 'Enable insecure guest logons' is set to 'Disabled': [PASSED]"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configuration profiles, set the following Settings Catalog path to Disabled:
Lanman Workstation\Enable insecure guest logons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Actual Value:
0</t>
  </si>
  <si>
    <t>"4.10.4.1 (L1) Ensure 'Include command line in process creation events' is set to 'Enabled': [PASSED]"
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configuration profiles, set the following Settings Catalog path to Enabled
Administrative Templates\System\Audit Process Creation\Include command line in process creation events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https://workbench.cisecurity.org/benchmarks/21719
Reference:
800-171|3.3.1, 800-171|3.3.2, 800-171r3|03.03.01, 800-53|AU-2, 800-53r5|AU-2, CN-L3|8.1.4.3(a), CSCv7|16.4, CSCv8|8.8, CSF|PR.PT-1, CSF2.0|PR.PS-04, GDPR|32.1.b, HIPAA|164.306(a)(1), HIPAA|164.312(b), ISO-27001-2022|A.8.15, ITSG-33|AU-2, LEVEL|1A, NESA|M1.2.2, NESA|M5.5.1, NIAv2|AM7, NIAv2|AM11a, NIAv2|AM11b, NIAv2|AM11c, NIAv2|AM11d, NIAv2|AM11e, NIAv2|SS30, NIAv2|VL8, QCSC-v1|8.2.1, QCSC-v1|13.2, SWIFT-CSCv1|6.4
Policy Value:
1
Actual Value:
1</t>
  </si>
  <si>
    <t>"38.3 (L1) Ensure 'Enable Domain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Domain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</si>
  <si>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"55.6 (L1) Ensure 'MSI Allow user control over installs' is set to 'Disabled': [PASSED]"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configuration profiles, set the following Settings Catalog path to Disabled :
Microsoft App Store\MSI Allow user control over installs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</si>
  <si>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"89.15 (L1) Ensure 'Deny Log On As Batch Job' to include 'Guests': [FAILED]"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*S-1-5-32-546 (Guests).
Accounts that have the Log on as a batch job user right could be used to schedule jobs that could consume excessive computer resources and cause a DoS condition.
Solution:
To establish the recommended configuration via configuration profiles, set the following Settings Catalog path to *S-1-5-32-546 (Guests).
User Rights\Deny Log On As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'Guests'
Actual Value:
NULL</t>
  </si>
  <si>
    <t>"49.20 (L1) Ensure 'Network access: Restrict clients allowed to make remote calls to SAM' is set to 'Administrators: Remote Access: Allow': [PASSED]"
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
Solution:
To establish the recommended configuration via configuration profiles, set the following Settings Catalog path to Administrators: Remote Access: Allow :
Local Policies Security Options\Network access: Restrict clients allowed to make remote calls to SAM
Impact:
None - this is the default behavior.
See Also:
https://workbench.cisecurity.org/benchmarks/21719
Reference:
800-171|3.1.5, 800-171r3|03.01.05a., 800-53|AC-6(3), 800-53r5|AC-6(3), CN-L3|7.1.3.2(b), CN-L3|7.1.3.2(g), CN-L3|8.1.4.2(d), CN-L3|8.1.10.6(a), CSF|PR.AC-4, CSF2.0|PR.AA-05, GDPR|32.1.b, HIPAA|164.306(a)(1), HIPAA|164.312(a)(1), ISO-27001-2022|A.5.15, ISO-27001-2022|A.8.2, ISO-27001-2022|A.8.18, ISO/IEC-27001|A.9.1.2, ISO/IEC-27001|A.9.4.4, ITSG-33|AC-6(3), LEVEL|1A, NESA|T5.1.1, NESA|T5.5.4, NIAv2|AM1, NIAv2|AM23f, NIAv2|SS13c, NIAv2|SS15c, PCI-DSSv3.2.1|7.1.2, PCI-DSSv4.0|7.2.1, PCI-DSSv4.0|7.2.2, QCSC-v1|5.2.2, QCSC-v1|6.2, SWIFT-CSCv1|5.1, TBA-FIISB|31.4.2, TBA-FIISB|31.4.3
Policy Value:
'O:BAG:BAD:(A;;RC;;;BA)'
Actual Value:
'O:BAG:BAD:(A;;RC;;;BA)'</t>
  </si>
  <si>
    <t>"89.2 (L1) Ensure 'Access From Network' is set to 'Administrators, Remote Desktop Users': [PASSED]"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*S-1-5-32-544 and *S-1-5-32-555 (Administrators, Remote Desktop Users).
Note: If your organization is using Microsoft Defender for Identity (formerly Azure Advanced Threat Protection (Azure ATP)), the (organization-named) Defender for Identity Directory Service Account (DSA), will also need to be granted the same Access from network User Right Assignment. For more information on adding the service account please see
Make sure the DSA is allowed to access computers from the network in Microsoft Defender for Identity | Microsoft Docs
.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configuration profiles, set the following Settings Catalog path to *S-1-5-32-544 and *S-1-5-32-555 (Administrators, Remote Desktop Users).
User Rights\Access From Network
Note: Include only one User or Group per line in the Settings Catalog configuration screen.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CSCv7|9.2,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'Remote Desktop Users'
Actual Value:
'remote desktop users' &amp;&amp; 'administrators'</t>
  </si>
  <si>
    <t>"4.6.9.2 (L1) Ensure 'Prohibit use of Internet Connection Sharing on your DNS domain network' is set to 'Enabled': [PASSED]"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configuration profiles, set the following Settings Catalog path to Enabled
Administrative Templates\Network\Network Connections\Prohibit use of Internet Connection Sharing on your DNS domain network
Impact:
Mobile Hotspot cannot be enabled or configured by Administrators and non-Administrators alike.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</si>
  <si>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"49.16 (L1) Ensure 'Microsoft network server: Digitally sign communications (if client agrees)' is set to 'Enabled': [PASSED]"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</si>
  <si>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"81.40 (L1) Ensure 'Xbox Live Auth Manager (XblAuthManager)' is set to 'Disabled': [PASSED]"
Provides authentication and authorization services for interacting with Xbox Live.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Auth Manager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</si>
  <si>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"49.30 (L1) Ensure 'User Account Control: Detect application installations and prompt for elevation' is set to 'Enabled':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configuration profiles, set the following Settings Catalog path to Enabled :
Local Policies 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</si>
  <si>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"49.8 (L1) Ensure 'Interactive logon: Machine inactivity limit' is set to '900 or fewer second(s), but not 0': [FAILED]"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configuration profiles, set the following Settings Catalog path to 900 or fewer seconds, but not 0 :
Local Policies 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[1..900]
Actual Value:
NULL</t>
  </si>
  <si>
    <t>"101.1 (L1) Ensure 'Allow Clipboard Redirection' is set to 'Not allowed': [PASSED]"
This policy setting enables or disables clipboard sharing with the Windows Sandbox.
The recommended state for this setting is: Not allowed
Note: The Windows Sandbox feature was first introduced in Windows 10 R1903, and allows a temporary 'clean install' virtual instance of Windows to be run inside the host, for the ostensible purpose of testing applications without making changes to the host.
Disabling copy and paste decreases the attack surface exposed by the Windows Sandbox and possible exposure of untrusted applications to the internal network.
Solution:
To establish the recommended configuration via configuration profiles, set the following Settings Catalog path to Not allowed
Windows Sandbox\Allow Clipboard Redirection
Impact:
The copy and paste function to/from the Windows Sandbox will be disabled. Therefore, files will not be able to be moved to/from the Windows Sandbox via the clipboard.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</si>
  <si>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"22.10 (L1) Ensure 'ASR: Block credential stealing from the Windows local security authority subsystem' is set to 'Block': [PASSED]"
This rule helps prevent credential stealing by locking down Local Security Authority Subsystem Service (LSASS).
LSASS authenticates users who sign in on a Windows computer. Microsoft Defender Credential Guard in Windows normally prevents attempts to extract credentials from LSASS. Some organizations can't enable Credential Guard on all of their computers because of compatibility issues with custom smartcard drivers or other programs that load into the Local Security Authority (LSA). In these cases, attackers can use tools like Mimikatz to scrape cleartext passwords and NTLM hashes from LSASS.
Note: Enabling this rule doesn't provide additional protection if you have LSA protection enabled since the ASR rule and LSA protection work similarly. However, when LSA protection cannot be enabled, this rule can be configured to provide equivalent protection against malware that target lsass.exe
The recommended state for this setting is: Block
Attack surface reduction helps prevent actions and apps that are typically used by exploit-seeking malware to infect machines.
Solution:
To establish the recommended configuration via configuration profiles, set the following Settings Catalog path to Block
Defender\Block credential stealing from the Windows local security authority subsystem
Impact:
When a rule is triggered, a notification will be displayed from the Action Center.
See Also:
https://workbench.cisecurity.org/benchmarks/21719
Reference:
800-53|SI-16, 800-53r5|SI-16, CSCv7|8.3, CSCv8|10.5, CSF2.0|PR.DS-10, GDPR|32.1.b, HIPAA|164.306(a)(1), ITSG-33|SI-16, LEVEL|1A
Policy Value:
'\b(?i)9e6c4e1f-7d60-472f-ba1a-a39ef669e4b2=1\b'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</si>
  <si>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"49.6 (L1) Ensure 'Interactive logon: Do not display last signed-in' is set to 'Enabled': [FAILED]"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Warning: If the
Self Service Password Reset (SSPR)
feature is used in Microsoft Entra ID, an exception to this recommendation is needed as it's known to interfere with SSPR.
Warning #2: If the
Windows passwordless experience
feature is used, an exception to this recommendation is needed as it prevents this feature from working.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configuration profiles, set the following Settings Catalog path to Enabled :
Local Policies 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1
Actual Value:
0</t>
  </si>
  <si>
    <t>"4.11.8.2 (L1) Ensure 'Enumerate administrator accounts on elevation' is set to 'Disabled': [PASSED]"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configuration profiles, set the following Settings Catalog path to Disabled
Administrative Templates\Windows Components\Credential User Interface\Enumerate administrator accounts on elevation
Impact:
None - this is the default behavior.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</si>
  <si>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"89.9 (L1) Ensure 'Create Permanent Shared Objects' is set to 'No One':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configuration profiles, set the following Settings Catalog path to (&lt;![CDATA[]]&gt;) which equals No One
User Rights\Create Permanent Shared Objects
Note: Using (&lt;![CDATA[]]&gt;) to represent a blank value or No One is recommended by Microsoft. However, there is a known issue where an error occurs in Endpoint Manger (Intune) but does not affect the policy setting from being applied to the system properly.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
Actual Value:
NULL</t>
  </si>
  <si>
    <t>"38.13 (L1) Ensure 'Enable Private Network Firewall: Log File Path' is set to '%SystemRoot%\System32\logfiles\firewall\privatefw.log': [PASSED]"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configuration profiles, set the following Settings Catalog path to %SystemRoot%\System32\logfiles\firewall\privatefw.log :
Firewall\Enable Private Network Firewall: Log File Path
Impact:
The log file will be stored in the specified file.
See Also:
https://workbench.cisecurity.org/benchmarks/21719
Reference:
800-171|3.3.1, 800-171|3.3.2, 800-171|3.3.6, 800-171r3|03.03.01, 800-171r3|03.03.03, 800-171r3|03.03.06a., 800-53|AU-2, 800-53|AU-7, 800-53|AU-12, 800-53r5|AU-2, 800-53r5|AU-7, 800-53r5|AU-12, CN-L3|7.1.2.3(c), CN-L3|8.1.4.3(a), CSCv7|6.3, CSCv7|9.4, CSCv8|8.2, CSF|DE.CM-1, CSF|DE.CM-3, CSF|DE.CM-7, CSF|PR.PT-1, CSF|RS.AN-3, CSF2.0|DE.CM-01, CSF2.0|DE.CM-03, CSF2.0|DE.CM-09, CSF2.0|PR.PS-04, CSF2.0|RS.AN-03, CSF2.0|RS.AN-06, CSF2.0|RS.AN-07, GDPR|32.1.b, HIPAA|164.306(a)(1), HIPAA|164.312(b), ISO-27001-2022|A.8.15, ITSG-33|AU-2, ITSG-33|AU-7, ITSG-33|AU-12, LEVEL|1A, NESA|M1.2.2, NESA|M5.5.1, NIAv2|AM7, NIAv2|AM11a, NIAv2|AM11b, NIAv2|AM11c, NIAv2|AM11d, NIAv2|AM11e, NIAv2|SS30, NIAv2|VL8, PCI-DSSv3.2.1|10.1, QCSC-v1|3.2, QCSC-v1|6.2, QCSC-v1|8.2.1, QCSC-v1|10.2.1, QCSC-v1|11.2, QCSC-v1|13.2, SWIFT-CSCv1|6.4
Policy Value:
'%SystemRoot%\System32\logfiles\firewall\privatefw.log'
Actual Value:
'%SystemRoot%\System32\logfiles\firewall\privatefw.log'</t>
  </si>
  <si>
    <t>"38.8 (L1) Ensure 'Enable Private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
Firewall\Enable Private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</si>
  <si>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"89.20 (L1) Ensure 'Impersonate Client' is set to 'Administrators, LOCAL SERVICE, NETWORK SERVICE, SERVICE': [PASSED]"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*S-1-5-32-544 *S-1-5-19 *S-1-5-20 and *S-1-5-6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configuration profiles, set the following Settings Catalog path to *S-1-5-32-544 *S-1-5-19 *S-1-5-20 and *S-1-5-6 (Administrators, LOCAL SERVICE, NETWORK SERVICE, SERVICE).
User Rights\Impersonate Client
Note: Include only one User or Group per line in the Settings Catalog configuration screen.
Impact:
In most cases this configuration will have no impact. If you have installed
Web Server (IIS)
, you will need to also assign the user right to IIS_IUSRS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'LOCAL SERVICE' &amp;&amp; 'NETWORK SERVICE' &amp;&amp; 'SERVICE'
Actual Value:
'service' &amp;&amp; 'administrators' &amp;&amp; 'network service' &amp;&amp; 'local service'</t>
  </si>
  <si>
    <t>"89.22 (L1) Ensure 'Load Unload Device Drivers' is set to 'Administrators': [PASSED]"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*S-1-5-32-544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configuration profiles, set the following Settings Catalog path to *S-1-5-32-544 (Administrators).
User Rights\Load Unload Device Drivers
Note: Include only one User or Group per line in the Settings Catalog configuration screen.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</si>
  <si>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"81.32 (L1) Ensure 'Windows Media Player Network Sharing Service (WMPNetworkSvc)' is set to 'Disabled' or 'Not Installed': [PASSED]"
Shares Windows Media Player libraries to other networked players and media devices using Universal Plug and Play.
The recommended state for this setting is: Disabled or Not Installed
Network sharing of media from Media Player has no place in an enterprise managed environment.
Solution:
To establish the recommended configuration, set the following Custom Configuration Policy to 4 or confirm that the service is Not installed :
Name:  &lt;Enter name&gt;
Description: &lt;Enter Description&gt;
OMA-URI:
 ./Device/Vendor/MSFT/Policy/Config/SystemServices/ConfigureWindowsMediaPlayerNetworkSharingServiceStartupMode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WMPNetworkSvc -StartupType Disabled
Impact:
Windows Media Player libraries will not be shared over the network to other devices and systems.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</si>
  <si>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"22.29 (L1) Ensure 'PUA Protection' is set to 'PUA Protection on': [PASSED]"
This policy setting controls detection and action for Potentially Unwanted Applications (PUA), which are sneaky unwanted application bundlers or their bundled applications, that can deliver adware or malware.
The recommended state for this setting is: PUA Protection on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PUA Protection on :
Defender\PUA Protection
Impact:
Applications that are identified by Microsoft as PUA will be blocked at download and install time.
See Also:
https://workbench.cisecurity.org/benchmarks/21719
Reference:
800-171|3.14.2, 800-171|3.14.4, 800-171|3.14.5, 800-171r3|03.14.02, 800-53|SI-3, 800-53r5|SI-3, CN-L3|7.1.3.6(b), CN-L3|8.1.4.5, CN-L3|8.1.9.6(a), CN-L3|8.1.9.6(b), CN-L3|8.1.10.5(b), CN-L3|8.1.10.7(a), CN-L3|8.1.10.7(b), CSCv7|2.7,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</si>
  <si>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"80.3 (L1) Ensure 'Allow Telemetry' is set to 'Basic': [PASSED]"
This policy setting determines the amount of diagnostic and usage data reported to Microsoft:
The recommended state for this setting is: Basic or Security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configuration profiles, set the following Settings Catalog path to Basic or Security :
System\Allow Telemetry
Impact:
Note that setting values of 0 or 1 will degrade certain experiences on the device.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</si>
  <si>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"89.19 (L1) Ensure 'Generate Security Audits' is set to 'LOCAL SERVICE, NETWORK SERVICE': [PASSED]"
This policy setting determines which users or processes can generate audit records in the Security log.
The recommended state for this setting is: *S-1-5-19 and *S-1-5-20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configuration profiles, set the following Settings Catalog path to *S-1-5-19 and *S-1-5-20 (LOCAL SERVICE, NETWORK SERVICE).
User Rights\Generate security audits
Note: Include only one User or Group per line in the Settings Catalog configuration screen.
Impact:
On most computers, this is the default configuration and there will be no negative impact. However, if you have installed
Web Server (IIS)
, you will need to allow the IIS application pool(s) to be granted this user right.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CSCv7|6.2,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'LOCAL SERVICE' &amp;&amp; 'NETWORK SERVICE'
Actual Value:
'network service' &amp;&amp; 'local service'</t>
  </si>
  <si>
    <t>"4.11.42.1 (L1) Ensure 'Turn off the offer to update to the latest version of Windows' is set to 'Enabled': [PASSED]"
Enables or disables the Microsoft Store offer to update to the latest version of Windows.
The recommended state for this setting is: Enabled
Unplanned OS upgrades can lead to more preventable support calls. The IT department should be managing and approving all upgrades and updates.
Solution:
To establish the recommended configuration via configuration profiles, set the following Settings Catalog path to Enabled
Administrative Templates\Windows Components\Store\Turn off the offer to update to the latest version of Windows
Impact:
The Microsoft Store application will not offer updates to the latest version of Windows.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</si>
  <si>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"4.11.10.1 (L1) Ensure 'Enable App Installer Experimental Features' is set to 'Disabled': [PASSED]"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configuration profiles, set the following Settings Catalog path to Disabled :
Administrative Templates\Windows Components\Desktop App Installer\Enable App Installer Experimental Features
Impact:
Users will not have access to experimental features in the command line tool, winget to discover, install, upgrade, remove, configure, or distribute applications.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</si>
  <si>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"103.2 (L1) Ensure 'Defer Feature Updates Period in Days' is set to 'Enabled: 180 or more days': [PASSED]"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configuration profiles, set the following Settings Catalog path to Enabled: 180 or more days
Windows Update for Business\Defer Feature Updates Period in Days
Impact:
Feature Updates will be delayed until they are publicly released to general public by Microsoft.
See Also:
https://workbench.cisecurity.org/benchmarks/21719
Reference:
800-171|3.11.2, 800-171|3.11.3, 800-171|3.14.1, 800-171r3|03.11.02, 800-171r3|03.14.01, 800-53|RA-5, 800-53|SI-2, 800-53|SI-2(2), 800-53r5|RA-5, 800-53r5|RA-7, 800-53r5|SI-2, 800-53r5|SI-2(2), CN-L3|8.1.4.4(e), CN-L3|8.1.10.5(a), CN-L3|8.1.10.5(b), CN-L3|8.5.4.1(b), CN-L3|8.5.4.1(d), CN-L3|8.5.4.1(e), CSCv7|2.4,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[180..4294967295]
Actual Value:
180</t>
  </si>
  <si>
    <t>"49.31 (L1) Ensure 'User Account Control: Only elevate UIAccess applications that are installed in secure locations' is set to 'Enabled':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configuration profiles, set the following Settings Catalog path to Enabled :
Local Policies Security Options\User Account Control: Only elevate UIAccess applications that are installed in secure locations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</si>
  <si>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"81.24 (L1) Ensure 'Simple TCP/IP Services (simptcp)' is set to 'Disabled' or 'Not Installed': [PASSED]"
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
Solution:
To establish the recommended configuration, set the following Custom Configuration Policy to 4 or confirm that the service is Not installed :
Name:  &lt;Enter name&gt;
Description: &lt;Enter Description&gt;
OMA-URI: ./Device/Vendor/MSFT/Policy/Config/SystemServices/ConfigureSimpleTCPIPServicesStartupMode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simptcp -StartupType Disabled
Impact:
The Simple TCP/IP services (Character Generator, Daytime, Discard, Echo and Quote of the Day)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</si>
  <si>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"81.20 (L1) Ensure 'Remote Procedure Call (RPC) Locator (RpcLocator)' is set to 'Disabled': [PASSED]"
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
Solution:
To establish the recommended configuration, set the following Custom Configuration Policy to 4 :
Name:  &lt;Enter name&gt;
Description: &lt;Enter Description&gt;
OMA-URI: ./Device/Vendor/MSFT/Policy/Config/SystemServices/ConfigureRemoteProcedureCallLocatorServiceStartupMode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RpcLocator -StartupType Disabled
Impact:
No impact, unless an old, legacy application requires it.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</si>
  <si>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"4.7.4 (L1) Ensure 'Configure RPC connection settings: Use authentication for outgoing RPC connections' is set to 'Enabled: Default': [FAILED]"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Default :
Administrative Templates\Printers\Configure RPC connection settings: Use authentication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1</t>
  </si>
  <si>
    <t>"34.2 (L1) Ensure 'Allow Spotlight Collection (User)' is set to '0': [PASSED]"
This policy setting removes the Spotlight collection setting in Personalization, rendering the user unable to select and subsequently download daily images from Microsoft to the system desktop.
The recommended state for this setting is: 0
Disabling this setting will help ensure your data is not shared with any third party. The Windows Spotlight feature collects data and uses that data to display images from Microsoft.
Solution:
To establish the recommended configuration via configuration profiles, set the following Settings Catalog path to 0 :
Experience\Allow Spotlight Collection (User)
Impact:
The Spotlight collection feature will not be available as an option in Personalization settings, so users will not be able to download daily images from Microsoft.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Compliant items:
  HKLM\Software\Microsoft\PolicyManager\Providers\5F8307ED-FD01-4DD6-BFDD-CF30A437B585\Default\S-1-12-1-646820689-1135952126-3140365961-2250431588\Experience - 0</t>
  </si>
  <si>
    <t>"4.6.18.2 (L1) Ensure 'Prohibit connection to non-domain networks when connected to domain authenticated network' is set to 'Enabled': [PASSED]"
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
Solution:
To establish the recommended configuration via configuration profiles, set the following Settings Catalog path to Enabled
Administrative Templates\Network\Windows Connection Manager\Prohibit connection to non-domain networks when connected to domain authenticated network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See Also:
https://workbench.cisecurity.org/benchmarks/21719
Reference:
800-171|3.13.1, 800-171|3.13.5, 800-171r3|03.13.01, 800-53|SC-7, 800-53r5|SC-7, CN-L3|8.1.10.6(j), CSCv7|12.4, CSF|DE.CM-1, CSF|PR.AC-5, CSF|PR.DS-5, CSF|PR.PT-4, CSF2.0|DE.CM-01, CSF2.0|PR.DS-01, CSF2.0|PR.DS-02, CSF2.0|PR.DS-10, CSF2.0|PR.IR-01, GDPR|32.1.b, HIPAA|164.306(a)(1), ISO-27001-2022|A.5.14, ISO-27001-2022|A.8.16, ISO-27001-2022|A.8.20, ISO/IEC-27001|A.13.1.3, ITSG-33|SC-7, LEVEL|1A, NESA|T4.5.4, NIAv2|GS1, NIAv2|GS2a, NIAv2|GS2b, PCI-DSSv3.2.1|1.1, PCI-DSSv3.2.1|1.2, PCI-DSSv3.2.1|1.2.1, PCI-DSSv3.2.1|1.3, PCI-DSSv4.0|1.2.1, PCI-DSSv4.0|1.4.1, QCSC-v1|5.2.1, QCSC-v1|5.2.2, QCSC-v1|6.2, QCSC-v1|8.2.1, TBA-FIISB|43.1
Policy Value:
1
Actual Value:
1</t>
  </si>
  <si>
    <t>"4.11.5.2 (L1) Ensure 'Notify antivirus programs when opening attachments (User)' is set to 'Enabled': [PASSED]"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configuration profiles, set the following Settings Catalog path to Enabled
Administrative Templates\Windows Components\Attachment Manager\Notify antivirus programs when opening attachments (User)
Impact:
Windows tells the registered antivirus program(s) to scan the file when a user opens a file attachment. If the antivirus program fails, the attachment is blocked from being opened.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3
Actual Value:
Compliant items:</t>
  </si>
  <si>
    <t>"34.4 (L1) Ensure 'Disable Consumer Account State Content' is set to 'Enabled': [PASSED]"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configuration profiles, set the following Settings Catalog path to Enabled :
Experience\Disable Consumer Account State Content
Impact:
Users will not be able to use Microsoft consumer accounts on the system, and associated Windows experiences will instead present default fallback content.
See Also:
https://workbench.cisecurity.org/benchmarks/21719
Reference:
800-171|3.1.1, 800-171r3|03.01.01, 800-53|AC-2(1), 800-53r5|AC-2(1), CN-L3|7.1.3.2(d), CSCv8|5.6, CSF|PR.AC-1, CSF|PR.AC-4, CSF2.0|DE.CM-01, CSF2.0|DE.CM-03, CSF2.0|PR.AA-01, CSF2.0|PR.AA-05, CSF2.0|PR.DS-10, GDPR|32.1.b, HIPAA|164.306(a)(1), HIPAA|164.312(a)(1), ISO-27001-2022|A.5.16, ISO-27001-2022|A.5.18, ISO-27001-2022|A.8.2, ISO/IEC-27001|A.9.2.1, ITSG-33|AC-2(1), LEVEL|1A, NIAv2|AM28, NIAv2|NS5j, NIAv2|SS14e, QCSC-v1|5.2.2, QCSC-v1|8.2.1, QCSC-v1|13.2, QCSC-v1|15.2
Policy Value:
1
Actual Value:
1</t>
  </si>
  <si>
    <t>"6.17 (L1) Ensure 'Detailed Tracking Audit Process Creation' is set to include 'Success':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configuration profiles, set the following Settings Catalog path to Success
Auditing\Detailed Tracking 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</si>
  <si>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"55.4 (L1) Ensure 'Block Non Admin User Install' is set to 'Allow': [FAILED]"
This setting manages non-Administrator users' ability to install Windows app packages.
The recommended state for this setting is: Allow
Warning: If the
Self Service Password Reset (SSPR)
feature is used in Microsoft Entra ID, an exception to this recommendation is needed as it's known to interfere with SSPR.
In a corporate managed environment, application installations should be managed centrally by IT staff, not by end users.
Solution:
To establish the recommended configuration via configuration profiles, set the following Settings Catalog path to Allow
Microsoft App Store\Block Non Admin User Install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
See Also:
https://workbench.cisecurity.org/benchmarks/21719
Reference:
800-171|3.4.8, 800-171r3|03.04.08, 800-53|CM-7(5), 800-53|CM-10, 800-53r5|CM-7(5), 800-53r5|CM-10, CSCv7|4.3, CSCv8|2.5, CSF|DE.CM-3, CSF|PR.IP-1, CSF|PR.PT-3, CSF2.0|DE.CM-03, CSF2.0|DE.CM-09, CSF2.0|PR.PS-01, GDPR|32.1.b, HIPAA|164.306(a)(1), ISO-27001-2022|A.5.32, ISO-27001-2022|A.8.19, ISO/IEC-27001|A.12.5.1, ISO/IEC-27001|A.12.6.2, ITSG-33|CM-7, LEVEL|1A, NIAv2|SS15a, PCI-DSSv3.2.1|2.2.2, QCSC-v1|3.2, QCSC-v1|8.2.1, SWIFT-CSCv1|2.3, TBA-FIISB|44.2.2, TBA-FIISB|49.2.3
Policy Value:
1
Actual Value:
0</t>
  </si>
  <si>
    <t>"49.13 (L1) Ensure 'Microsoft network client: Digitally sign communications (if server agrees)' is set to 'Enabled':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</si>
  <si>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"4.10.26.2 (L1) Ensure 'Do not display network selection UI' is set to 'Enabled': [PASSED]"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configuration profiles, set the following Settings Catalog path to Enabled
Administrative Templates\System\Logon\Do not display network selection UI
Impact:
The PC's network connectivity state cannot be changed without signing into Windows.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</si>
  <si>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"4.7.3 (L1) Ensure 'Configure RPC connection settings: Protocol to use for outgoing RPC connections' is set to 'Enabled: RPC over TCP': [PASSED]"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configuration profiles, set the following Settings Catalog path to Enabled: RPC over TCP :
Administrative Templates\Printers\Configure RPC connection settings: Protocol to use for outgoing RPC connections
Impact:
Warning: Many existing print configurations may be using the older named pipes protocol and therefore will cease to function.
See Also:
https://workbench.cisecurity.org/benchmarks/21719
Reference:
800-171|3.4.2, 800-171r3|03.04.02a., 800-53|CM-6b., 800-53r5|CM-6b., CN-L3|8.1.10.6(d), CSF|PR.IP-1, CSF2.0|DE.CM-09, CSF2.0|PR.PS-01, GDPR|32.1.b, HIPAA|164.306(a)(1), ISO-27001-2022|A.8.9, ITSG-33|CM-6b., LEVEL|1A, NESA|T3.2.1, SWIFT-CSCv1|2.3
Policy Value:
0
Actual Value:
0</t>
  </si>
  <si>
    <t>"80.6 (L1) Ensure 'Enable OneSettings Auditing' is set to 'Enabled': [PASSED]"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
System\Enable OneSettings Auditing
Impact:
Windows will record attempts to connect with the OneSettings service to the Applications and Services Logs\Microsoft\Windows\Privacy-Auditing\Operational Event Log channel.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1
Actual Value:
1</t>
  </si>
  <si>
    <t>"24.4 (L1) Ensure 'Require Platform Security Features' is set to 'Turns on VBS with Secure Boot' or higher: [PASSED]"
This policy setting specifies whether Virtualization Based Security (VBS) is enabled. VBS uses the Windows Hypervisor to provide support for security services.
The recommended state for this setting is: Turns on VBS with Secure Boot or Turns on VBS with Secure Boot and direct memory access (DMA). DMA requires hardware support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Secure Boot can help reduce the risk of bootloader attacks and in conjunction with DMA protections to help protect data from being scraped from memory.
Solution:
To establish the recommended configuration via configuration profiles, set the following Settings Catalog path to Turns on VBS with Secure Boot or Turns on VBS with Secure Boot and direct memory access (DMA). DMA requires hardware support :
Device Guard\Require Platform Security Features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https://workbench.cisecurity.org/benchmarks/21719
Reference:
800-53|SI-16, 800-53r5|SI-16, CSCv7|8.3, CSCv8|10.5, CSF2.0|PR.DS-10, GDPR|32.1.b, HIPAA|164.306(a)(1), ITSG-33|SI-16, LEVEL|1A
Policy Value:
3 || 1
Actual Value:
3</t>
  </si>
  <si>
    <t>"79.1 (L1) Ensure 'Enable Sudo' is set to 'Sudo is disabled': [PASSED]"
This policy setting configures the use of the sudo.exe command line tool. The sudo feature in Windows allows users to run elevated commands (as an administrator) directly from an unelevated console session.
The recommended state for this setting is: Sudo is disabled
Sudo for Windows could be exploited for escalation of privilege and spoofing attacks by a malicious actor. For example, in October 2024,
CVE-2024-43571
(spoofing vulnerability) was created by Microsoft.
Solution:
To establish the recommended configuration via configuration profiles, set the following Settings Catalog path to Sudo is disabled
Sudo\Enable Sudo
Impact:
The sudo.exe command line tool will not be available on the system.
See Also:
https://workbench.cisecurity.org/benchmarks/21719
Reference:
800-171|3.4.6, 800-171|3.4.7, 800-171r3|03.04.06b., 800-53|CM-7b., 800-53r5|CM-7b., CN-L3|7.1.3.5(c), CN-L3|7.1.3.7(d), CN-L3|8.1.4.4(b), CSF|PR.IP-1, CSF|PR.PT-3, CSF2.0|PR.PS-01, GDPR|32.1.b, HIPAA|164.306(a)(1), ITSG-33|CM-7a., LEVEL|1A, NIAv2|SS13b, NIAv2|SS14a, NIAv2|SS14c, PCI-DSSv3.2.1|2.2.2, PCI-DSSv4.0|2.2.4, QCSC-v1|3.2, SWIFT-CSCv1|2.3
Policy Value:
0
Actual Value:
0</t>
  </si>
  <si>
    <t>"4.11.36.4.9.2 (L1) Ensure 'Require secure RPC communication' is set to 'Enabled': [PASSED]"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configuration profiles, set the following Settings Catalog path to Enabled
Administrative Templates\Windows Components\Remote Desktop Services\Remote Desktop Session Host\Security\Require secure RPC communication
Impact:
Remote Desktop Services accepts requests from RPC clients that support secure requests, and does not allow unsecured communication with untrusted clients.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CSCv7|9.2,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</si>
  <si>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"49.33 (L1) Ensure 'User Account Control: Switch to the secure desktop when prompting for elevation' is set to 'Enabled':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configuration profiles, set the following Settings Catalog path to Enabled :
Local Policies Security Options\User Account Control: Switch to the secure desktop when prompting for elevation
Impact:
None - this is the default behavior.
See Also:
https://workbench.cisecurity.org/benchmarks/21719
Reference:
800-171|3.1.5, 800-171r3|03.01.05b., 800-53|AC-6(1), 800-53r5|AC-6(1), CN-L3|7.1.3.2(b), CN-L3|7.1.3.2(g), CN-L3|8.1.4.2(d), CN-L3|8.1.10.6(a), CSF|PR.AC-4, CSF2.0|PR.AA-05, GDPR|32.1.b, HIPAA|164.306(a)(1), HIPAA|164.312(a)(1), ISO-27001-2022|A.5.15, ISO-27001-2022|A.8.2, ISO-27001-2022|A.8.18, ISO/IEC-27001|A.9.4.4, ITSG-33|AC-6(1), LEVEL|1A, NESA|T5.1.1, NESA|T5.4.4, NESA|T5.5.4, NESA|T5.6.1, NESA|T7.5.3, NIAv2|AM31, NIAv2|GS3, NIAv2|GS4, NIAv2|GS8c, NIAv2|VL3b, PCI-DSSv3.2.1|7.1.2, PCI-DSSv4.0|7.2.1, PCI-DSSv4.0|7.2.2, QCSC-v1|5.2.2, QCSC-v1|6.2, SWIFT-CSCv1|5.1, TBA-FIISB|31.4.2, TBA-FIISB|31.4.3
Policy Value:
1
Actual Value:
1</t>
  </si>
  <si>
    <t>"26.3 (L1) Ensure 'Device Password Enabled: Min Device Password Complex Characters' is set to 'Digits and lowercase letters are required': [FAILED]"
This policy setting configures the number of complex element types (uppercase and lowercase letters, numbers, and punctuation) required for PIN or password.
The recommended state for this setting is: Digits and lowercase letters are required
Note: The enforcement of policies for Microsoft accounts happens on the server, and the server requires a password length of 8 and a complexity of 2 A complexity value of 3 or 4 is unsupported and setting this value on the server makes Microsoft accounts non-compliant. However, configuring this setting to 2 will force the value of 3 for Local accounts.
Passwords should contain complexity to ensure they are not easily guessed or brute-forced by a malicious actor.
Solution:
To establish the recommended configuration via configuration profiles, set the following Settings Catalog path to Digits lowercase letters and uppercase letters are required :
Device Lock\Device Password Enabled: Alphanumeric Device Password Required: Min Device Password Complex Characters
Note: As of March 20, 2025, this setting is nested under
Alphanumeric Device Password Required
and may not fully appear in Settings Catalog unless unchecked and re-checked in the settings picker.
Impact: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3
Actual Value:
NULL</t>
  </si>
  <si>
    <t>"81.13 (L1) Ensure 'OpenSSH SSH Server (sshd)' is set to 'Disabled' or 'Not Installed': [PASSED]"
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
Solution:
Remediation of this service is currently not possible through Settings Catalog or a custom profile OMA-URI. Instead, it can be scripted and deployed through the Intune Scripts or Remediations blade or by other means.
To establish the recommended configuration via PowerShell, run the following cmdlet:
Set-Service -Name sshd -StartupType Disabled
Impact:
The workstation will not be permitted to be a SSH host server.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</si>
  <si>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"38.12 (L1) Ensure 'Enable Private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Private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</si>
  <si>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"103.1 (L1) Ensure 'Allow Auto Update' is set to 'Enabled': [FAILED]"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this this policy setting is set to Enabled, select one of the following options in the Configure Automatic Updates Properties dialog box to specify how the service will work:
 - 2 - Auto install and restart.
 - 3 - Auto install and restart at a specified time. (Default)
 - 4 - Auto install and restart without end-user control.
The recommended state for this setting is: Enabled and never 'Turn off automatic updates'
Note: The sub-setting '
Allow Auto Update:
' has 6 possible values - not all of them are valid depending on specific organizational needs, however if feasible we suggest using a value of 2, 3, or 4 The only scored requirement is to not turn off automatic updates (5).
Note #2: Organizations that utilize a third--party solution for patching may choose to exempt themselves from this recommendation, and instead configure it to Disabled so that the native Windows Update mechanism does not interfere with the third--party patching process.
Warning: If option 3 or 4 is not selected, then the ScheduledInstallDay recommendation will not take effect and an exception to that recommendation will be needed.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anything other than 'Turn off automatic updates'.
Windows Update For Business\Allow Auto Update
Impact:
Critical operating system updates and service packs will be installed as necessary.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[2..4]
Actual Value:
5</t>
  </si>
  <si>
    <t>"4.4.2 (L1) Ensure 'Configure SMB v1 client driver' is set to 'Enabled: Disable driver (recommended)': [PASSED]"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configuration profiles, set the following Settings Catalog path to Enabled: Disable driver (recommended)
Administrative Templates\MS Security Guide\Configure SMB v1 client driver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https://workbench.cisecurity.org/benchmarks/21719
Reference:
800-171|3.4.2, 800-171|3.4.6, 800-171|3.4.7, 800-171r3|03.04.02, 800-171r3|03.04.06, 800-53|CM-6, 800-53|CM-7, 800-53r5|CM-6, 800-53r5|CM-7, CSCv7|9.2, CSCv7|14.3, CSCv8|4.8, CSF|PR.IP-1, CSF|PR.PT-3, CSF2.0|DE.CM-09, CSF2.0|PR.PS-01, GDPR|32.1.b, HIPAA|164.306(a)(1), ISO-27001-2022|A.8.9, ITSG-33|CM-6, ITSG-33|CM-7, LEVEL|1A, NIAv2|SS15a, PCI-DSSv3.2.1|2.2.2, SWIFT-CSCv1|2.3
Policy Value:
4
Actual Value:
4</t>
  </si>
  <si>
    <t>"96.1 (L1) Ensure 'Disallow Exploit Protection Override' is set to '(Enable)': [PASSED]"
This policy setting prevent users from making changes to the Exploit protection settings area in the Windows Security settings.
The recommended state for this setting is: (Enable)
Only authorized IT staff should be able to make changes to the exploit protection settings in order to ensure the organizations specific configuration is not modified.
Solution:
To establish the recommended configuration via configuration profiles, set the following Settings Catalog path to (Enable)
Windows Defender Security Center\Disallow Exploit Protection Override
Impact:
Local users cannot make changes in the Exploit protection settings area.
See Also:
https://workbench.cisecurity.org/benchmarks/21719
Reference:
800-53|SI-16, 800-53r5|SI-16, CSCv7|8.3, CSCv8|10.5, CSF2.0|PR.DS-10, GDPR|32.1.b, HIPAA|164.306(a)(1), ITSG-33|SI-16, LEVEL|1A
Policy Value:
1
Actual Value:
1</t>
  </si>
  <si>
    <t>"4.7.8 (L1) Ensure 'Limits print driver installation to Administrators' is set to 'Enabled': [PASSED]"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configuration profiles, set the following Settings Catalog path to Enabled
Administrative Templates\Printers\Limits print driver installation to Administrators
Impact:
None - this is the default behavior.
See Also:
https://workbench.cisecurity.org/benchmarks/21719
Reference:
800-171|3.14.6, 800-171|3.14.7, 800-171r3|03.14.06, 800-53|SI-4, 800-53r5|SI-4, CN-L3|7.1.3.5(a), CN-L3|8.1.10.5(b), CN-L3|8.1.10.6(f), CSF|DE.AE-1, CSF|DE.AE-2, CSF|DE.AE-3, CSF|DE.AE-4, CSF|DE.CM-1, CSF|DE.CM-5, CSF|DE.CM-6, CSF|DE.CM-7, CSF|DE.DP-2, CSF|DE.DP-3, CSF|DE.DP-4, CSF|DE.DP-5, CSF|ID.RA-1, CSF|PR.DS-5, CSF|PR.IP-8, CSF|RS.AN-1, CSF|RS.CO-3, CSF2.0|DE.AE-02, CSF2.0|DE.AE-03, CSF2.0|DE.CM-01, CSF2.0|DE.CM-06, CSF2.0|DE.CM-09, CSF2.0|ID.IM-01, CSF2.0|ID.IM-02, CSF2.0|ID.IM-03, CSF2.0|ID.RA-01, CSF2.0|PR.DS-01, CSF2.0|PR.DS-02, CSF2.0|PR.DS-10, GDPR|32.1.b, HIPAA|164.306(a)(1), HIPAA|164.312(b), ISO-27001-2022|A.8.16, ITSG-33|SI-4, LEVEL|1A, NESA|M1.2.2, QCSC-v1|3.2, QCSC-v1|5.2.1, QCSC-v1|5.2.2, QCSC-v1|5.2.3, QCSC-v1|6.2, QCSC-v1|8.2.1, QCSC-v1|10.2.1, QCSC-v1|11.2
Policy Value:
1
Actual Value:
1</t>
  </si>
  <si>
    <t>"97.1 (L1) Ensure 'Enable ESS with Supported Peripherals' is set to 'Enhanced sign-in security will be enabled...': [PASSED]"
Enhanced Sign-in Security isolates Windows Hello biometric (face and fingerprint) template data and matching operations to trusted hardware or specified memory regions.
The recommended state for this setting is: ESS will be enabled on systems with capable software and hardware, following the existing default behavior in Windows. Authentication operations of any peripheral biometric device will be blocked and not available for Windows Hello. (default and recommended for highest security).
Because the channel of communication between the sensors and the algorithm is secured, it is impossible for malware to inject or replay data in order to simulate a user signing in or to lock a user out of their machine.
Solution:
To establish the recommended configuration via configuration profiles, set the following Settings Catalog path to Enhanced sign-in security will be enabled... :
Windows Hello For Business\Enable ESS with Supported Peripherals
Impact:
None - this is the default behavior.
See Also:
https://workbench.cisecurity.org/benchmarks/21719
Reference:
800-53|SI-16, 800-53r5|SI-16, CSCv7|8.3, CSCv8|10.5, CSF2.0|PR.DS-10, GDPR|32.1.b, HIPAA|164.306(a)(1), ITSG-33|SI-16, LEVEL|1A
Policy Value:
1
Actual Value:
1</t>
  </si>
  <si>
    <t>"4.11.15.1.2 (L1) Ensure 'Specify the maximum log file size (KB)' is set to 'Enabled: 32,768 or greater':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Enabled: 32,768 or greater
Administrative Templates\Windows Components\Event Log Service\Application\Specify the maximum log file size (KB)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https://workbench.cisecurity.org/benchmarks/21719
Reference:
800-53|AU-4, 800-53r5|AU-4, CSCv7|6.4, CSCv8|8.3, CSF|PR.DS-4, CSF|PR.PT-1, GDPR|32.1.b, HIPAA|164.306(a)(1), HIPAA|164.312(b), ISO-27001-2022|A.8.6, ITSG-33|AU-4, LEVEL|1A, NESA|T3.3.1, NESA|T3.6.2, QCSC-v1|8.2.1, QCSC-v1|13.2
Policy Value:
[32768..4294967295]
Actual Value:
102400</t>
  </si>
  <si>
    <t>"4.10.13.1 (L1) Ensure 'Boot-Start Driver Initialization Policy' is set to 'Enabled: Good, unknown and bad but critical': [PASSED]"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configuration profiles, set the following Settings Catalog path to Enabled: `Good, unknown and bad but critical.
Administrative Templates\System\Early Launch Antimalware\Boot-Start Driver Initialization Policy
Impact:
None - this is the default behavior.
See Also:
https://workbench.cisecurity.org/benchmarks/21719
Reference:
800-53|SI-16, 800-53r5|SI-16, CSCv7|8.3, CSCv8|10.5, CSF2.0|PR.DS-10, GDPR|32.1.b, HIPAA|164.306(a)(1), ITSG-33|SI-16, LEVEL|1A
Policy Value:
3
Actual Value:
3</t>
  </si>
  <si>
    <t>"81.7 (L1) Ensure 'IIS Admin Service (IISADMIN)' is set to 'Disabled' or 'Not Installed': [PASSED]"
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set the following Custom Configuration Policy to 4 or confirm that the service is Not installed :
Name:  &lt;Enter name&gt;
Description: &lt;Enter Description&gt;
OMA-URI: ./Device/Vendor/MSFT/Policy/Config/SystemServices/ConfigureIISAdminServiceStartupMode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IISADMIN -StartupType Disabled
Impact:
IIS will not function, including Web, SMTP or FTP services.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</si>
  <si>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"81.8 (L1) Ensure 'Infrared monitor service (irmon)' is set to 'Disabled' or 'Not Installed': [PASSED]"
Detects other Infrared devices that are in range and launches the file transfer application.
The recommended state for this setting is: Disabled or Not Installed
Infrared connections can potentially be a source of data compromise - especially via the automatic 'file transfer application' functionality. Enterprise-managed systems should utilize a more secure method of connection than infrared.
Solution:
To establish the recommended configuration, set the following Custom Configuration Policy to 4 or confirm that the service is Not installed :
Name:  &lt;Enter name&gt;
Description: &lt;Enter Description&gt;
OMA-URI: ./Device/Vendor/MSFT/Policy/Config/SystemServices/ConfigureInfraredMonitorServiceStartupMode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irmon -StartupType Disabled
Impact:
Infrared file transfers will be prevented from working.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</si>
  <si>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"89.33 (L1) Ensure 'Restore Files And Directories' is set to 'Administrators': [PASSED]"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*S-1-5-32-544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configuration profiles, set the following Settings Catalog path to *S-1-5-32-544 (Administrators).
User Rights\Restore files and directories
Note: Include only one User or Group per line in the Settings Catalog configuration screen.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</si>
  <si>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"38.19 (L1) Ensure 'Enable Public Network Firewall: Disable Inbound Notifications' is set to 'True': [PASSED]"
Select this option to have Windows Firewall with Advanced Security display notifications to the user when a program is blocked from receiving inbound connections.
The recommended state for this setting is: True
Some organizations may prefer to avoid alarming users when firewall rules block certain types of network activity. However, notifications can be helpful when troubleshooting network issues involving the firewall.
Solution:
To establish the recommended configuration via configuration profiles, set the following Settings Catalog path to 'True':
Firewall\Enable Public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</si>
  <si>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"6.26 (L1) Ensure 'System Audit Security State Change' is set to include 'Success': [PASSED]"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configuration profiles, set the following Settings Catalog path to Success
Auditing\System 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</si>
  <si>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"4.5.3 (L1) Ensure 'MSS: (DisableIPSourceRouting) IP source routing protection level (protects against packet spoofing)' is set to 'Enabled: Highest protection, source routing is completely disabled': [PASSED]"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configuration profiles, set the following Settings Catalog path to Enabled: Highest protection, source routing is completely disabled
Administrative Templates\MSS (Legacy)\MSS: (DisableIPSourceRouting) IP source routing protection level (protects against packet spoofing)
Impact:
All incoming source routed packets will be dropped.
See Also:
https://workbench.cisecurity.org/benchmarks/21719
Reference:
800-171|3.13.1, 800-171r3|03.13.01, 800-53|SC-7(12), 800-53r5|SC-7(12), CN-L3|8.1.10.6(j), CSF|DE.CM-1, CSF|PR.AC-5, CSF|PR.DS-5, CSF|PR.PT-4, CSF2.0|DE.CM-01, CSF2.0|PR.DS-01, CSF2.0|PR.DS-02, CSF2.0|PR.DS-10, CSF2.0|PR.IR-01, GDPR|32.1.b, HIPAA|164.306(a)(1), ISO-27001-2022|A.5.14, ISO-27001-2022|A.8.16, ISO-27001-2022|A.8.20, ISO/IEC-27001|A.13.1.3, ITSG-33|SC-7(12), LEVEL|1A, NESA|T4.5.4, NIAv2|AM38, NIAv2|SS13d, NIAv2|SS26, PCI-DSSv3.2.1|1.4, PCI-DSSv4.0|1.5.1, QCSC-v1|5.2.1, QCSC-v1|5.2.2, QCSC-v1|6.2, QCSC-v1|8.2.1, TBA-FIISB|43.1
Policy Value:
2
Actual Value:
2</t>
  </si>
  <si>
    <t>"6.11 (L1) Ensure 'Audit Other Logon Logoff Events' is set to 'Success and Failure': [PASSED]"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Other Logon 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CSCv7|16.13,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</si>
  <si>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"38.10 (L1) Ensure 'Enable Private Network Firewall: Disable Inbound Notifications' is set to 'True': [PASSED]"
Select this option to have Windows Firewall with Advanced Security display notifications to the user when a program is blocked from receiving inbound connections.
The recommended state for this setting is: True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configuration profiles, set the following Settings Catalog path to True :
Firewall\Enable Private Network Firewall: Disable Inbound Notifications
Impact:
Windows Firewall will not display a notification when a program is blocked from receiving inbound connections.
See Also:
https://workbench.cisecurity.org/benchmarks/21719
Reference:
800-171|3.13.1, 800-171|3.13.5, 800-171|3.13.6, 800-171r3|03.13.01, 800-171r3|03.13.06, 800-53|SC-7, 800-53|SC-7(5), 800-53r5|SC-7, 800-53r5|SC-7(5), CN-L3|7.1.2.2(c), CN-L3|8.1.10.6(j), CSCv7|9.4, CSCv7|11.2,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</si>
  <si>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"4.10.20.1.2 (L1) Ensure 'Turn off downloading of print drivers over HTTP' is set to 'Enabled': [PASSED]"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configuration profiles, set the following Settings Catalog path to Enabled
Administrative Templates\System\Internet Communication Management\Internet Communication settings\Turn off downloading of print drivers over HTTP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https://workbench.cisecurity.org/benchmarks/21719
Reference:
800-171|3.4.8, 800-171r3|03.04.08, 800-53|CM-7(5), 800-53r5|CM-7(5), CSCv7|2.7, CSF|PR.IP-1, CSF|PR.PT-3, CSF2.0|PR.PS-01, GDPR|32.1.b, HIPAA|164.306(a)(1), ISO-27001-2022|A.8.19, ISO/IEC-27001|A.12.5.1, ISO/IEC-27001|A.12.6.2, ITSG-33|CM-7, LEVEL|1A, NIAv2|SS15a, PCI-DSSv3.2.1|2.2.2, QCSC-v1|3.2, SWIFT-CSCv1|2.3, TBA-FIISB|44.2.2, TBA-FIISB|49.2.3
Policy Value:
1
Actual Value:
1</t>
  </si>
  <si>
    <t>"89.21 (L1) Ensure 'Increase Scheduling Priority' is set to 'Administrators, Window Manager\Window Manager Group': [PASSED]"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*S-1-5-32-544 and *S-1-5-90-0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configuration profiles, set the following Settings Catalog path to *S-1-5-32-544 and *S-1-5-90-0 (Administrators, Window Manager\Window Manager Group).
User Rights\Increase scheduling priority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'Window Manager Group') || ('Administrators' &amp;&amp; 'Window Manager\Window Manager Group')
Actual Value:
'window manager group' &amp;&amp; 'administrators'</t>
  </si>
  <si>
    <t>"23.1 (L1) Ensure 'DO Download Mode' is NOT set to 'HTTP blended with Internet Peering': [PASSED]"
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Due to privacy concerns and security risks, updates should only be downloaded directly from Microsoft, or from a trusted machine on the internal network that received
its
updates from a trusted source and approved by the network administrator.
Solution:
To establish the recommended configuration via configuration profiles, set the following Settings Catalog path to any value
other than
HTTP blended with Internet Peering :
Delivery Optimization\DO Download Mode
Impact:
Machines will not be able to download updates from peers on the Internet. If set to Enabled: HTTP only (0) Enabled: Simple (99) or Enabled: Bypass (100) machines will not be able to download updates from other machines on the same LAN.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 1 || 2 || 99 || 100
Actual Value:
0</t>
  </si>
  <si>
    <t>"38.4 (L1) Ensure 'Enable Domain Network Firewall: Enable Log Dropped Packets' is set to 'Yes: Enable Logging Of Dropped Packets': [PASSED]"
Use this option to log when Windows Firewall with Advanced Security discards an inbound packet for any reason. The log records why and when the packet was dropped. Look for entries with the word DROP in the action column of the log.
The recommended state for this setting is: Enable Logging Of Dropped Packets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Dropped Packets :
Firewall\Enable Domain Network Firewall: Enable Log Dropped Packets
Impact:
Information about dropped packets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</si>
  <si>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"68.2 (L1) Ensure 'Allow Input Personalization' is set to 'Block': [PASSED]"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Block
If this setting is Enabled sensitive information could be stored in the cloud or sent to Microsoft.
Solution:
To establish the recommended configuration via configuration profiles, set the following Settings Catalog path to Block :
Privacy\Allow Input Personalization
Impact:
Automatic learning of speech, inking, and typing stops and users cannot change its value via PC Settings.
See Also:
https://workbench.cisecurity.org/benchmarks/21719
Reference:
800-171|3.4.1, 800-171|3.4.2, 800-171|3.4.6, 800-171|3.4.7, 800-171|3.13.1, 800-171|3.13.2, 800-171r3|03.04.01, 800-171r3|03.04.02, 800-171r3|03.04.06, 800-171r3|03.16.01, 800-53|CM-2, 800-53|CM-6, 800-53|CM-7, 800-53|CM-7(1), 800-53|CM-9, 800-53|SA-3, 800-53|SA-8, 800-53|SA-10, 800-53r5|CM-1, 800-53r5|CM-2, 800-53r5|CM-6, 800-53r5|CM-7, 800-53r5|CM-7(1), 800-53r5|CM-9, 800-53r5|SA-3, 800-53r5|SA-8, 800-53r5|SA-10, CSCv7|5.1, CSCv8|4.1, CSF|DE.AE-1, CSF|PR.DS-7, CSF|PR.IP-1, CSF|PR.IP-2, CSF|PR.IP-3, CSF|PR.PT-3, CSF2.0|DE.CM-09, CSF2.0|ID.AM-08, CSF2.0|ID.IM-01, CSF2.0|ID.IM-02, CSF2.0|ID.IM-03, CSF2.0|ID.RA-09, CSF2.0|PR.DS-10, CSF2.0|PR.IR-03, CSF2.0|PR.PS-01, CSF2.0|PR.PS-06, GDPR|32.1.b, HIPAA|164.306(a)(1), ISO-27001-2022|A.5.2, ISO-27001-2022|A.5.8, ISO-27001-2022|A.8.9, ISO-27001-2022|A.8.25, ISO-27001-2022|A.8.26, ISO-27001-2022|A.8.27, ISO-27001-2022|A.8.28, ISO-27001-2022|A.8.30, ISO-27001-2022|A.8.31, ISO-27001-2022|A.8.32, ITSG-33|CM-2, ITSG-33|CM-6, ITSG-33|CM-7, ITSG-33|CM-7(1), ITSG-33|CM-9, ITSG-33|SA-3, ITSG-33|SA-8, ITSG-33|SA-8a., ITSG-33|SA-10, LEVEL|1A, NESA|T1.2.1, NESA|T1.2.2, NESA|T3.2.5, NESA|T3.4.1, NESA|T4.5.3, NESA|T4.5.4, NESA|T7.2.1, NESA|T7.5.1, NESA|T7.5.3, NESA|T7.6.1, NESA|T7.6.2, NESA|T7.6.3, NESA|T7.6.5, NIAv2|SS3, NIAv2|SS15a, NIAv2|SS16, NIAv2|VL2, PCI-DSSv3.2.1|2.2.2, QCSC-v1|3.2, QCSC-v1|4.2, QCSC-v1|5.2.1, QCSC-v1|5.2.2, SWIFT-CSCv1|2.3
Policy Value:
0
Actual Value:
0</t>
  </si>
  <si>
    <t>"49.12 (L1) Ensure 'Microsoft network client: Digitally sign communications (always)' is set to 'Enabled': [PASSED]"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configuration profiles, set the following Settings Catalog path to Enabled :
Local Policies 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1
Actual Value:
1</t>
  </si>
  <si>
    <t>"22.17 (L1) Ensure 'ASR: Block Office communication application from creating child processes' is set to 'Audit' or higher: [PASSED]"
This rule prevents Outlook from creating child processes, while still allowing legitimate Outlook functions.
The recommended state for this setting is: Audit Configuring this setting to Block also conforms to the benchmark.
This ASR rule protects against social engineering attacks and prevents exploiting code from abusing vulnerabilities in Outlook. It also protects against Outlook rules and forms exploits that attackers can use when a user's credentials are compromised.
Solution:
To establish the recommended configuration via configuration profiles, set the following Settings Catalog path to Audit or Block
Defender\Block Office communication application from creating child processes
Impact:
This rule will block DLP policy tips and ToolTips in Outlook, and applies to Outlook and Outlook.com only.
See Also:
https://workbench.cisecurity.org/benchmarks/21719
Reference:
800-53|SI-16, 800-53r5|SI-16, CSCv7|8.3, CSCv8|10.5, CSF2.0|PR.DS-10, GDPR|32.1.b, HIPAA|164.306(a)(1), ITSG-33|SI-16, LEVEL|1A
Policy Value:
'\b(?i)26190899-1602-49e8-8b27-eb1d0a1ce869=(1|2)\b'
Actual Value:
'5BEB7EFE-FD9A-4556-801D-275E5FFC04CC=1|92E97FA1-2EDF-4476-BDD6-9DD0B4DDDC7B=2|01443614-cd74-433a-b99e-2ecdc07bfc25=1|26190899-1602-49e8-8b27-eb1d0a1ce869=2|D4F940AB-401B-4EFC-AADC-AD5F3C50688A=1|D3E037E1-3EB8-44C8-A917-57927947596D=1|b2b3f03d-6a65-4f7b-a9c7-1c7ef74a9ba4=1|7674ba52-37eb-4a4f-a9a1-f0f9a1619a2c=1|9e6c4e1f-7d60-472f-ba1a-a39ef669e4b2=1|a8f5898e-1dc8-49a9-9878-85004b8a61e6=1|56a863a9-875e-4185-98a7-b882c64b5ce5=1|e6db77e5-3df2-4cf1-b95a-636979351e5b=1|c0033c00-d16d-4114-a5a0-dc9b3a7d2ceb=2|75668C1F-73B5-4CF0-BB93-3ECF5CB7CC84=1|c1db55ab-c21a-4637-bb3f-a12568109d35=1|d1e49aac-8f56-4280-b9ba-993a6d77406c=1|3B576869-A4EC-4529-8536-B80A7769E899=1|33ddedf1-c6e0-47cb-833e-de6133960387=0|BE9BA2D9-53EA-4CDC-84E5-9B1EEEE46550=1'</t>
  </si>
  <si>
    <t>"6.15 (L1) Ensure 'Audit User Account Management' is set to 'Success and Failure': [PASSED]"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</si>
  <si>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"6.3 (L1) Ensure 'Account Logon Logoff Audit Group Membership' is set to include 'Success': [PASSED]"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configuration profiles, set the following Settings Catalog path to Success
Auditing\Account Logon Logoff 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CSCv7|4.8,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 'success, failure'
Actual Value:
'success'</t>
  </si>
  <si>
    <t>"103.5 (L1) Ensure 'Scheduled Install Day' is set to 'Every day': [PASSED]"
This policy setting specifies when computers in your environment will receive security updates from Windows Update or WSUS.
The recommended state for this setting is: Every day
Note: This setting is only applicable if the option of 3 or 4 is selected in the recommendation
'Allow Auto Update'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configuration profiles, set the following Settings Catalog path to Every day
Windows Update For Business\Scheduled Install Day
Impact:
If option 3 or 4 is selected in recommendation
'Allow Auto Update'
, critical operating system updates and service packs will automatically download every day (at 3:00 A.M., by default).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0
Actual Value:
0</t>
  </si>
  <si>
    <t>"76.1.3 (L1) Ensure 'Notify Unsafe App' is set to 'Enabled': [PASSED]"
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
Solution:
To establish the recommended configuration via configuration profiles, set the following Settings Catalog path to Enabled :
Smart Screen\Enhanced Phishing Protection\Notify Unsafe App
Impact:
Saved passwords may be detected as false positives by Microsoft.
See Also:
https://workbench.cisecurity.org/benchmarks/21719
Reference:
800-53|SI-16, 800-53r5|SI-16, CSCv7|8.3, CSCv8|10.5, CSF2.0|PR.DS-10, GDPR|32.1.b, HIPAA|164.306(a)(1), ITSG-33|SI-16, LEVEL|1A
Policy Value:
1
Actual Value:
1</t>
  </si>
  <si>
    <t>"4.10.26.3 (L1) Ensure 'Do not enumerate connected users on domain-joined computers' is set to 'Enabled': [PASSED]"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configuration profiles, set the following Settings Catalog path to Enabled
Administrative Templates\System\Logon\Do not enumerate connected users on domain-joined computers
Impact:
The Logon UI will not enumerate any connected users on domain-joined computers.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1
Actual Value:
1</t>
  </si>
  <si>
    <t>"4.4.5 (L1) Ensure 'WDigest Authentication' is set to 'Disabled': [PASSED]"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configuration profiles, set the following Settings Catalog path to Disabled
Administrative Templates\MS Security Guide\WDigest Authentication (disabling may require KB2871997)
Impact:
None - this is also the default configuration for Windows 8.1 or newer.
See Also:
https://workbench.cisecurity.org/benchmarks/21719
Reference:
800-171|3.5.2, 800-171|3.13.16, 800-171r3|03.05.07, 800-171r3|03.13.08, 800-53|IA-5(1), 800-53|SC-28, 800-53|SC-28(1), 800-53r5|IA-5(1), 800-53r5|SC-28, 800-53r5|SC-28(1), CN-L3|8.1.4.7(b), CN-L3|8.1.4.8(b), CSCv7|16.4, CSCv8|3.11, CSF|PR.AC-1, CSF|PR.DS-1, CSF2.0|PR.AA-01, CSF2.0|PR.AA-03, CSF2.0|PR.DS-01, GDPR|32.1.a, GDPR|32.1.b, HIPAA|164.306(a)(1), HIPAA|164.312(a)(2)(i), HIPAA|164.312(a)(2)(iv), HIPAA|164.312(d), HIPAA|164.312(e)(2)(ii), ISO-27001-2022|A.5.10, ISO-27001-2022|A.5.16, ISO-27001-2022|A.5.17, ISO-27001-2022|A.5.33, ITSG-33|IA-5(1), ITSG-33|SC-28, ITSG-33|SC-28a., ITSG-33|SC-28(1), LEVEL|1A, NESA|T5.2.3, PCI-DSSv3.2.1|3.4, PCI-DSSv4.0|3.3.2, PCI-DSSv4.0|3.5.1, QCSC-v1|5.2.2, QCSC-v1|6.2, QCSC-v1|13.2, SWIFT-CSCv1|4.1, TBA-FIISB|28.1
Policy Value:
0
Actual Value:
0</t>
  </si>
  <si>
    <t>"89.29 (L1) Ensure 'Profile Single Process' is set to 'Administrators':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*S-1-5-32-544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configuration profiles, set the following Settings Catalog path to *S-1-5-32-544 (Administrators).
User Rights\Profile single process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</si>
  <si>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"22.5 (L1) Ensure 'Allow scanning of all downloaded files and attachments' is set to 'Allowed': [PASSED]"
This policy setting configures scanning for all downloaded files and attachments.
The recommended state for this setting is: Allowed
When running an antivirus solution such as Microsoft Defender Antivirus, it is important to ensure that it is configured to heuristically monitor in real-time for suspicious and known malicious activity.
Solution:
To establish the recommended configuration via configuration profiles, set the following Settings Catalog path to Allowed
Defender\Allow scanning of all downloaded files and attachments
Impact:
None - this is the default behavior.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</si>
  <si>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"4.10.31.2 (L1) Ensure 'Restrict Unauthenticated RPC clients' is set to 'Enabled: Authenticated': [PASSED]"
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 None ' allows all RPC clients to connect to RPC Servers running on the machine on which the policy setting is applied.
-- ' Authenticated ' allows only authenticated RPC Clients (per the definition above) to connect to RPC Servers running on the machine on which the policy setting is applied. Exemptions are granted to interfaces that have requested them.
-- ' Authenticated without exceptions '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
Unauthenticated RPC communication can create a security vulnerability.
Solution:
To establish the recommended configuration via configuration profiles, set the following Settings Catalog path to Enabled: Authenticated
Administrative Templates\System\Remote Procedure Call\Restrict Unauthenticated RPC clients
Impact:
None - this is the default behavior.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</si>
  <si>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"103.4 (L1) Ensure 'Manage preview builds' is set to 'Disable Preview builds': [PASSED]"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 Preview builds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configuration profiles, set the following Settings Catalog path to Disable Preview builds
Windows Update For Business\Manage preview builds
Impact:
Preview builds are prevented from installing on the device.
See Also:
https://workbench.cisecurity.org/benchmarks/21719
Reference:
800-171|3.4.8, 800-171r3|03.04.08, 800-53|CM-7(5), 800-53|CM-10, 800-53r5|CM-7(5), 800-53r5|CM-10, CSCv7|2.6, CSCv8|2.5, CSF|DE.CM-3, CSF|PR.IP-1, CSF|PR.PT-3, CSF2.0|DE.CM-03, CSF2.0|DE.CM-09, CSF2.0|PR.PS-01, GDPR|32.1.b, HIPAA|164.306(a)(1), ISO-27001-2022|A.5.32, ISO-27001-2022|A.8.19, ISO/IEC-27001|A.12.5.1, ISO/IEC-27001|A.12.6.2, ITSG-33|CM-7, LEVEL|1A, NIAv2|SS15a, PCI-DSSv3.2.1|2.2.2, QCSC-v1|3.2, QCSC-v1|8.2.1, SWIFT-CSCv1|2.3, TBA-FIISB|44.2.2, TBA-FIISB|49.2.3
Policy Value:
0
Actual Value:
0</t>
  </si>
  <si>
    <t>"76.1.4 (L1) Ensure 'Service Enabled' is set to 'Enabled': [PASSED]"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
Solution:
To establish the recommended configuration via configuration profiles, set the following Settings Catalog path to Enabled :
Smart Screen\Enhanced Phishing Protection\Service Enabled
Impact:
None - this is default behavior.
See Also:
https://workbench.cisecurity.org/benchmarks/21719
Reference:
800-53|SI-16, 800-53r5|SI-16, CSCv7|8.3, CSCv8|10.5, CSF2.0|PR.DS-10, GDPR|32.1.b, HIPAA|164.306(a)(1), ITSG-33|SI-16, LEVEL|1A
Policy Value:
1
Actual Value:
1</t>
  </si>
  <si>
    <t>"4.11.37.1 (L1) Ensure 'Prevent downloading of enclosures' is set to 'Enabled': [PASSED]"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configuration profiles, set the following Settings Catalog path to Enabled
Administrative Templates\Windows Components\RSS Feeds\Prevent downloading of enclosures
Impact:
Users cannot set the Feed Sync Engine to download an enclosure through the Feed property page. Developers cannot change the download setting through feed APIs.
See Also:
https://workbench.cisecurity.org/benchmarks/21719
Reference:
800-171|3.4.9, 800-171|3.13.13, 800-171r3|03.13.13, 800-53|CM-10, 800-53|CM-11, 800-53|SC-18, 800-53r5|CM-10, 800-53r5|CM-11, 800-53r5|SC-18, CSCv7|7.2, CSCv8|9.4, CSF|DE.CM-3, CSF|DE.CM-5, CSF2.0|DE.CM-03, CSF2.0|DE.CM-09, CSF2.0|PR.PS-01, CSF2.0|PR.PS-02, GDPR|32.1.b, HIPAA|164.306(a)(1), ISO-27001-2022|A.5.32, ISO-27001-2022|A.8.19, ISO/IEC-27001|A.12.6.2, ITSG-33|SC-18, LEVEL|1A, NIAv2|SU3, QCSC-v1|3.2, QCSC-v1|8.2.1, SWIFT-CSCv1|5.1
Policy Value:
1
Actual Value:
1</t>
  </si>
  <si>
    <t>"34.5 (L1) Ensure 'Do not show feedback notifications' is set to 'Feedback notifications are disabled': [PASSED]"
This policy setting allows an organization to prevent its devices from showing feedback questions from Microsoft.
The recommended state for this setting is: Feedback notifications are disabled
Users should not be sending any feedback to third-party vendors in an enterprise managed environment.
Solution:
To establish the recommended configuration via configuration profiles, set the following Settings Catalog path to Feedback notifications are disabled :
Experience\Do not show feedback notifications
Impact:
Users will no longer see feedback notifications through the Windows Feedback app.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1
Actual Value:
1</t>
  </si>
  <si>
    <t>"22.27 (L1) Ensure 'Hide Exclusions From Local Users' is set to 'Enabled': [PASSED]"
This policy setting controls whether Microsoft Defender Antivirus exclusions are visible to local users on the system.
The recommended state for this setting is: If you enable this setting, local users will no longer be able to see the exclusion list in Windows Security App or via PowerShell.
Note: As of the publication of this Benchmark, the setting configuration state in Intune is the sentence above after
The recommended state for this setting is:
and not
Enabled
as the title states. This was done to keep title length to a minimum.
Only administrators should be able to view and manage Microsoft Defender Antivirus exclusions.
Solution:
To establish the recommended configuration via configuration profiles, set the following Settings Catalog path to If you enable this setting, local users will no longer be able to see the exclusion list in Windows Security App or via PowerShell.
Defender\Hide Exclusions From Local Users
Impact:
Local users will not be able to view Microsoft Defender Antivirus exclusions.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</si>
  <si>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"4.11.36.4.11.1 (L1) Ensure 'Do not delete temp folders upon exit' is set to 'Disabled': [PASSED]"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configuration profiles, set the following Settings Catalog path to Disabled
Administrative Templates\Windows Components\Remote Desktop Services\Remote Desktop Session Host\Temporary Folders\Do not delete temp folders upon exit
Impact:
None - this is the default behavior.
See Also:
https://workbench.cisecurity.org/benchmarks/21719
Reference:
800-171r3|03.03.03b., 800-171r3|03.14.08, 800-53|AU-11, 800-53|SI-12, 800-53r5|AU-11, 800-53r5|SI-12, CSCv7|9.2, CSCv8|3.4, CSF|PR.PT-1, CSF2.0|ID.AM-07, CSF2.0|ID.AM-08, CSF2.0|PR.PS-04, GDPR|32.1.b, HIPAA|164.306(a)(1), HIPAA|164.312(b), ISO-27001-2022|A.5.28, ISO-27001-2022|A.8.15, ITSG-33|AU-11, ITSG-33|SI-12, ITSG-33|SI-12a., LEVEL|1A, NESA|M5.2.3, NESA|M5.2.4, NESA|M5.3.1, NESA|T3.6.2, NIAv2|DR1, NIAv2|DR1a, NIAv2|DR1b, NIAv2|DR1c, NIAv2|DR2, NIAv2|DR3, NIAv2|DR4, NIAv2|DR5, NIAv2|DR6, NIAv2|SM7, PCI-DSSv3.2.1|3.1, PCI-DSSv3.2.1|10.7, PCI-DSSv4.0|3.2.1, PCI-DSSv4.0|10.5.1, QCSC-v1|8.2.1, QCSC-v1|13.2
Policy Value:
1
Actual Value:
1</t>
  </si>
  <si>
    <t>"89.25 (L1) Ensure 'Manage auditing and security log' is set to 'Administrators': [PASSED]"
This policy setting determines which users can change the auditing options for files and directories and clear the Security log.
The recommended state for this setting is: *S-1-5-32-544 (Administrators).
Note: This user right is considered a 'sensitive privilege' for the purposes of auditing.
The ability to manage the Security event log is a powerful user right and it should be closely guarded. Anyone with this user right can clear the Security log to erase important evidence of unauthorized activity.
Solution:
To establish the recommended configuration via configuration profiles, set the following Settings Catalog path to *S-1-5-32-544 (Administrators).
User Rights\Manage auditing and security log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</si>
  <si>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"4.11.55.1.3 (L1) Ensure 'Disallow Digest authentication' is set to 'Enabled': [PASSED]"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configuration profiles, set the following Settings Catalog path to Enabled
Administrative Templates\Windows Components\Windows Remote Management (WinRM)\WinRM Client\Disallow Digest authentication
Impact:
The WinRM client will not use Digest authentication.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CSCv7|16.5,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0
Actual Value:
0</t>
  </si>
  <si>
    <t>"38.21 (L1) Ensure 'Enable Public Network Firewall: Enable Log Success Connections' is set to 'Enable Logging Of Successful Connections': [PASSED]"
Use this option to log when Windows Firewall with Advanced Security allows an inbound connection. The log records why and when the connection was formed. Look for entries with the word ALLOW in the action column of the log.
The recommended state for this setting is: Enable Logging Of Successful Connections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Enable Logging Of Successful Connections
Firewall\Enable Public Network Firewall: Enable Log success connections
Impact:
Information about successful connections will be recorded in the firewall log file.
See Also:
https://workbench.cisecurity.org/benchmarks/21719
Reference:
800-171|3.3.1, 800-171|3.3.2, 800-171|3.3.6, 800-171|3.13.1, 800-171|3.13.5, 800-171|3.13.6, 800-171r3|03.03.02a., 800-171r3|03.03.02b., 800-171r3|03.03.03, 800-171r3|03.03.06a., 800-171r3|03.13.01, 800-171r3|03.13.06, 800-53|AU-3, 800-53|AU-3(1), 800-53|AU-7, 800-53|AU-12, 800-53|SC-7, 800-53|SC-7(5), 800-53r5|AU-3, 800-53r5|AU-3(1), 800-53r5|AU-7, 800-53r5|AU-12, 800-53r5|SC-7, 800-53r5|SC-7(5), CN-L3|7.1.2.2(c), CN-L3|7.1.2.3(a), CN-L3|7.1.2.3(b), CN-L3|7.1.2.3(c), CN-L3|7.1.3.3(a), CN-L3|7.1.3.3(b), CN-L3|8.1.4.3(b), CN-L3|8.1.10.6(j), CSCv7|6.3, CSCv7|9.4, CSCv8|4.5, CSCv8|8.5, CSF|DE.CM-1, CSF|DE.CM-3, CSF|DE.CM-7, CSF|PR.AC-5, CSF|PR.DS-5, CSF|PR.PT-1, CSF|PR.PT-4, CSF|RS.AN-3, CSF2.0|DE.CM-01, CSF2.0|DE.CM-03, CSF2.0|DE.CM-09, CSF2.0|PR.DS-01, CSF2.0|PR.DS-02, CSF2.0|PR.DS-10, CSF2.0|PR.IR-01, CSF2.0|PR.PS-04, CSF2.0|RS.AN-03, CSF2.0|RS.AN-06, CSF2.0|RS.AN-07, GDPR|32.1.b, HIPAA|164.306(a)(1), HIPAA|164.312(b), ISO-27001-2022|A.5.14, ISO-27001-2022|A.5.28, ISO-27001-2022|A.8.15, ISO-27001-2022|A.8.16, ISO-27001-2022|A.8.20, ISO/IEC-27001|A.13.1.3, ITSG-33|AU-3, ITSG-33|AU-3(1), ITSG-33|AU-7, ITSG-33|AU-12, ITSG-33|SC-7, ITSG-33|SC-7(5), LEVEL|1A, NESA|T3.6.2, NESA|T4.5.4, NIAv2|AM34a, NIAv2|AM34b, NIAv2|AM34c, NIAv2|AM34d, NIAv2|AM34e, NIAv2|AM34f, NIAv2|AM34g, NIAv2|GS1, NIAv2|GS2a, NIAv2|GS2b, NIAv2|GS7b, NIAv2|NS25, PCI-DSSv3.2.1|1.1, PCI-DSSv3.2.1|1.2, PCI-DSSv3.2.1|1.2.1, PCI-DSSv3.2.1|1.3, PCI-DSSv3.2.1|10.1, PCI-DSSv3.2.1|10.3, PCI-DSSv3.2.1|10.3.1, PCI-DSSv3.2.1|10.3.2, PCI-DSSv3.2.1|10.3.3, PCI-DSSv3.2.1|10.3.4, PCI-DSSv3.2.1|10.3.5, PCI-DSSv3.2.1|10.3.6, PCI-DSSv4.0|1.2.1, PCI-DSSv4.0|1.4.1, PCI-DSSv4.0|10.2.2, QCSC-v1|3.2, QCSC-v1|5.2.1, QCSC-v1|5.2.2, QCSC-v1|6.2, QCSC-v1|8.2.1, QCSC-v1|10.2.1, QCSC-v1|11.2, QCSC-v1|13.2, SWIFT-CSCv1|6.4, TBA-FIISB|43.1
Policy Value:
1
Actual Value:
1</t>
  </si>
  <si>
    <t>"38.14 (L1) Ensure 'Enable Private Network Firewall: Log Max File Size' is set to '16,384 KB or greater': [PASSED]"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configuration profiles, set the following Settings Catalog path to 16,384 KB or greater :
Firewall\Enable Private Network Firewall: Log Max File Size (KB)
Impact:
The log file size will be limited to the specified size, old events will be overwritten by newer ones when the limit is reached.
See Also:
https://workbench.cisecurity.org/benchmarks/21719
Reference:
800-53|AU-4, 800-53r5|AU-4, CSCv7|6.4, CSCv7|9.4, CSCv8|8.3, CSF|PR.DS-4, CSF|PR.PT-1, GDPR|32.1.b, HIPAA|164.306(a)(1), HIPAA|164.312(b), ISO-27001-2022|A.8.6, ITSG-33|AU-4, LEVEL|1A, NESA|T3.3.1, NESA|T3.6.2, QCSC-v1|8.2.1, QCSC-v1|13.2
Policy Value:
[16384..4294967295]
Actual Value:
32767</t>
  </si>
  <si>
    <t>"89.8 (L1) Ensure 'Create Page File' is set to 'Administrators': [PASSED]"
This policy setting allows users to change the size of the pagefile. By making the pagefile extremely large or extremely small, an attacker could easily affect the performance of a compromised computer.
The recommended state for this setting is: *S-1-5-32-544 (Administrators).
Users who can change the page file size could make it extremely small or move the file to a highly fragmented storage volume, which could cause reduced computer performance.
Solution:
To establish the recommended configuration via configuration profiles, set the following Settings Catalog path to *S-1-5-32-544 (Administrators).
User Rights\Create Page File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</si>
  <si>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"4.10.9.2 (L1) Ensure 'Prevent device metadata retrieval from the Internet' is set to 'Enabled': [PASSED]"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configuration profiles, set the following Settings Catalog path to Enabled
Administrative Templates\System\Device Installation\Prevent device metadata retrieval from the Internet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https://workbench.cisecurity.org/benchmarks/21719
Reference:
800-171|3.4.8, 800-171r3|03.04.08, 800-53|CM-7(5), 800-53|CM-10, 800-53|SI-16, 800-53r5|CM-7(5), 800-53r5|CM-10, 800-53r5|SI-16, CSCv8|2.5, CSCv8|10.5, CSF|DE.CM-3, CSF|PR.IP-1, CSF|PR.PT-3, CSF2.0|DE.CM-03, CSF2.0|DE.CM-09, CSF2.0|PR.DS-10, CSF2.0|PR.PS-01, GDPR|32.1.b, HIPAA|164.306(a)(1), ISO-27001-2022|A.5.32, ISO-27001-2022|A.8.19, ISO/IEC-27001|A.12.5.1, ISO/IEC-27001|A.12.6.2, ITSG-33|CM-7, ITSG-33|SI-16, LEVEL|1A, NIAv2|SS15a, PCI-DSSv3.2.1|2.2.2, QCSC-v1|3.2, QCSC-v1|8.2.1, SWIFT-CSCv1|2.3, TBA-FIISB|44.2.2, TBA-FIISB|49.2.3
Policy Value:
1
Actual Value:
1</t>
  </si>
  <si>
    <t>"6.18 (L1) Ensure 'Object Access Audit Detailed File Share' is set to include 'Failure': [PASSED]"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configuration profiles, set the following Settings Catalog path to Failure
Auditing\Object Access 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CSCv7|14.6,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</si>
  <si>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"55.7 (L1) Ensure 'MSI Always install with elevated privileges' is set to 'Disabled':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configuration profiles, set the following Settings Catalog path to Disabled :
Microsoft App Store\MSI Always install with elevated privileges
Impact:
None - this is the default behavior.
See Also:
https://workbench.cisecurity.org/benchmarks/21719
Reference:
800-171|3.1.1, 800-171r3|03.01.01, 800-53|AC-2(9), 800-53r5|AC-2(9), CN-L3|8.1.4.2(c), CSCv7|4.3, CSF|PR.AC-1, CSF|PR.AC-4, CSF2.0|DE.CM-01, CSF2.0|DE.CM-03, CSF2.0|PR.AA-01, CSF2.0|PR.AA-05, CSF2.0|PR.DS-10, GDPR|32.1.b, HIPAA|164.306(a)(1), HIPAA|164.312(a)(1), ISO-27001-2022|A.5.16, ISO-27001-2022|A.5.18, ISO-27001-2022|A.8.2, ISO/IEC-27001|A.9.2.1, ITSG-33|AC-2, LEVEL|1A, NIAv2|AM16, PCI-DSSv3.2.1|8.5, PCI-DSSv4.0|8.2.2, PCI-DSSv4.0|8.2.3, QCSC-v1|5.2.2, QCSC-v1|8.2.1, QCSC-v1|13.2, QCSC-v1|15.2
Policy Value:
0
Actual Value:
0</t>
  </si>
  <si>
    <t>"81.42 (L1) Ensure 'Xbox Live Networking Service (XboxNetApiSvc)' is set to 'Disabled': [PASSED]"
This service supports the Windows.Networking.XboxLive application programming interface.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Networking Service
Impact:
Connections to Xbox Live may fail and applications that interact with that service may also fail.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</si>
  <si>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"76.1.1 (L1) Ensure 'Notify Malicious' is set to 'Enabled': [PASSED]"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
Solution:
To establish the recommended configuration via configuration profiles, set the following Settings Catalog path to Enabled :
Smart Screen\Enhanced Phishing Protection\Notify Malicious
Impact:
In some cases, Windows Defender SmartScreen may block legitimate websites, that have been incorrectly flagged by Microsoft.
See Also:
https://workbench.cisecurity.org/benchmarks/21719
Reference:
800-53|SI-16, 800-53r5|SI-16, CSCv7|8.3, CSCv8|10.5, CSF2.0|PR.DS-10, GDPR|32.1.b, HIPAA|164.306(a)(1), ITSG-33|SI-16, LEVEL|1A
Policy Value:
1
Actual Value:
1</t>
  </si>
  <si>
    <t>"4.7.10 (L1) Ensure 'Point and Print Restrictions: When installing drivers for a new connection' is set to 'Enabled: Show warning and elevation prompt': [PASSED]"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installing drivers for a new connection
Impact:
None - this is the default behavior.
See Also:
https://workbench.cisecurity.org/benchmarks/21719
Reference:
800-171|3.1.5, 800-171r3|03.01.05a., 800-53|AC-6(8), 800-53r5|AC-6(8),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0</t>
  </si>
  <si>
    <t>"4.7.5 (L1) Ensure 'Configure RPC listener settings: Authentication protocol to use for incoming RPC connections:' is set to 'Enabled: Negotiate' or higher: [PASSED]"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configuration profiles, set the following Settings Catalog path to Enabled: Negotiate or higher:
Administrative Templates\Printers\Configure RPC listener settings: Configure protocol options for incoming RPC connections
Impact:
Warning: Many existing print configurations may be using the older named pipes protocol and therefore will cease to function.
See Also:
https://workbench.cisecurity.org/benchmarks/21719
Reference:
800-171r3|03.05.02, 800-53|IA-3(1), 800-53r5|IA-3(1), CSF|PR.AC-1, CSF2.0|PR.AA-01, CSF2.0|PR.AA-03, GDPR|32.1.b, HIPAA|164.306(a)(1), HIPAA|164.312(a)(2)(i), HIPAA|164.312(d), ITSG-33|IA-3(1), LEVEL|1A, NESA|T5.4.3, QCSC-v1|13.2, TBA-FIISB|27.1
Policy Value:
0 || 1
Actual Value:
0</t>
  </si>
  <si>
    <t>"26.8 (L1) Ensure 'Device Password Enabled: Min Device Password Length' is set to '14 or more character(s)': [FAILED]"
This policy setting determines the least number of characters that make up a password for a local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configuration profiles, set the following Settings Catalog path to 14 or more character(s) :
Device Lock\Device Password Enabled: Min Device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Warning:
Windows Autopilot - Policy Conflicts
: The out-of-box experience (OOBE) or user desktop auto logon can fail when a device reboots during the device Enrollment Status Page (ESP). This failure can occur when certain DeviceLock policies are applied to a device.
If Windows Autopilot is used in the environment, assign this setting exclusively to user groups rather than device groups. This ensures the setting is applied later during enrollment, allowing Windows Autopilot to complete its pre-provisioning process and prevent potential interruptions.
Warning #2: If an organization is using Windows Hello for Business the the Device Lock password settings can impact PIN polices if those policies are not first defined elsewhere. Windows will follow the Windows Hello for Business policies for PINs if this key exists: HKLM\SOFTWARE\Microsoft\Policies\PassportForWork\&lt;Tenant-ID&gt;\Device\Policies Otherwise, it will follow Device Lock policies.
This benchmark recommends configuring Device Lock policies for Local User accounts and Windows Hello for Business policies for PINs
See Also:
https://workbench.cisecurity.org/benchmarks/21719
Reference:
800-171|3.5.2, 800-171r3|03.05.07, 800-53|IA-5(1), 800-53r5|IA-5(1), CSCv7|4.4, CSCv7|16.2, CSCv8|5.2, CSF|PR.AC-1, CSF2.0|PR.AA-01, CSF2.0|PR.AA-03, GDPR|32.1.b, HIPAA|164.306(a)(1), HIPAA|164.312(a)(2)(i), HIPAA|164.312(d), ISO-27001-2022|A.5.16, ISO-27001-2022|A.5.17, ITSG-33|IA-5(1), LEVEL|1A, NESA|T5.2.3, QCSC-v1|5.2.2, QCSC-v1|13.2, SWIFT-CSCv1|4.1
Policy Value:
[14..4294967295]
Actual Value:
NULL</t>
  </si>
  <si>
    <t>"4.10.30.1 (L1) Ensure 'Configure Offer Remote Assistance' is set to 'Disabled': [PASSED]"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configuration profiles, set the following Settings Catalog path to Disabled
Administrative Templates\System\Remote Assistance\Configure Offer Remote Assistance
Impact:
None - this is the default behavior.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</si>
  <si>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"89.5 (L1) Ensure 'Backup Files And Directories' is set to 'Administrators': [PASSED]"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*S-1-5-32-544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configuration profiles, set the following Settings Catalog path to *S-1-5-32-544 (Administrators).
User Rights\Backup Files And Directories
Note: Include only one User or Group per line in the Settings Catalog configuration screen.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</si>
  <si>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"49.29 (L1) Ensure 'User Account Control: Behavior of the elevation prompt for standard users' is set to 'Automatically deny elevation requests': [FAILED]"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configuration profiles, set the following Settings Catalog path to Automatically deny elevation requests:
Local Policies 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Note #2: When using third-party remote support tools, this recommendation could prevent Administrators from entering their administrative credentials. In this case, an exception to this recommendation will be needed.
See Also:
https://workbench.cisecurity.org/benchmarks/21719
Reference:
800-171|3.1.7, 800-171r3|03.01.07a., 800-53|AC-6(10), 800-53r5|AC-6(10), CN-L3|7.1.3.2(b), CN-L3|7.1.3.2(g), CN-L3|8.1.4.2(d), CN-L3|8.1.10.6(a), CSF|PR.AC-4, CSF2.0|PR.AA-05, GDPR|32.1.b, HIPAA|164.306(a)(1), HIPAA|164.312(a)(1), ISO-27001-2022|A.5.15, ISO-27001-2022|A.8.2, ISO-27001-2022|A.8.18, ITSG-33|AC-6, LEVEL|1A, NESA|T5.1.1, NESA|T5.2.2, NESA|T5.4.1, NESA|T5.4.4, NESA|T5.4.5, NESA|T5.5.4, NESA|T5.6.1, NESA|T7.5.3, NIAv2|AM1, NIAv2|AM23f, NIAv2|SS13c, NIAv2|SS15c, PCI-DSSv3.2.1|7.1.2, PCI-DSSv4.0|7.2.1, PCI-DSSv4.0|7.2.2, QCSC-v1|5.2.2, QCSC-v1|6.2, SWIFT-CSCv1|5.1, TBA-FIISB|31.4.2, TBA-FIISB|31.4.3
Policy Value:
0
Actual Value:
1</t>
  </si>
  <si>
    <t>"72.3 (L1) Ensure 'Allow Search To Use Location' is set to 'Block': [PASSED]"
This policy setting specifies whether search and Cortana can provide location aware search and Cortana results.
The recommended state for this setting is: Block
In an enterprise managed environment, allowing Cortana and Search to have access to location data is unnecessary. Organizations likely do not want this information shared out.
Solution:
To establish the recommended configuration via configuration profiles, set the following Settings Catalog path to Block :
Search\Allow search to use location
Impact:
Search and Cortana will not have access to location information.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</si>
  <si>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"4.11.18.4 (L1) Ensure 'Turn off shell protocol protected mode' is set to 'Disabled': [PASSED]"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configuration profiles, set the following Settings Catalog path to Disabled
Administrative Templates\Windows Components\File Explorer\Turn off shell protocol protected mode
Impact:
None - this is the default behavior.
See Also:
https://workbench.cisecurity.org/benchmarks/21719
Reference:
800-171|3.4.2, 800-171|3.4.6, 800-171|3.4.7, 800-171r3|03.04.02, 800-171r3|03.04.06, 800-53|CM-6, 800-53|CM-7, 800-53r5|CM-6, 800-53r5|CM-7, CSCv7|8.3, CSCv8|4.8, CSF|PR.IP-1, CSF|PR.PT-3, CSF2.0|DE.CM-09, CSF2.0|PR.PS-01, GDPR|32.1.b, HIPAA|164.306(a)(1), ISO-27001-2022|A.8.9, ITSG-33|CM-6, ITSG-33|CM-7, LEVEL|1A, NIAv2|SS15a, PCI-DSSv3.2.1|2.2.2, SWIFT-CSCv1|2.3
Policy Value:
0
Actual Value:
0</t>
  </si>
  <si>
    <t>"6.22 (L1) Ensure 'Policy Change Audit Other Policy Change Events' is set to include 'Failure':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Events for this subcategory include: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configuration profiles, set the following Settings Catalog path to Failure
Auditing\Policy Change 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CSCv7|5.5,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</si>
  <si>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"4.11.18.2 (L1) Ensure 'Turn off Data Execution Prevention for Explorer' is set to 'Disabled': [PASSED]"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configuration profiles, set the following Settings Catalog path to Disabled
Administrative Templates\Windows Components\File Explorer\Turn off Data Execution Prevention for Explorer
Impact:
None - this is the default behavior.
See Also:
https://workbench.cisecurity.org/benchmarks/21719
Reference:
800-53|SI-16, 800-53r5|SI-16, CSCv7|8.3, CSCv8|10.5, CSF2.0|PR.DS-10, GDPR|32.1.b, HIPAA|164.306(a)(1), ITSG-33|SI-16, LEVEL|1A
Policy Value:
0
Actual Value:
0</t>
  </si>
  <si>
    <t>"38.15 (L1) Ensure 'Enable Public Network Firewall' is set to 'True': [PASSED]"
Select True (recommended) to have Windows Firewall with Advanced Security use the settings for this profile to filter network traffic. If you select False, Windows Firewall with Advanced Security will not use any of the firewall rules or connection security rules for this profile.
The recommended state for this setting is: True (recommended)
If the firewall is turned off all traffic will be able to access the system and an attacker may be more easily able to remotely exploit a weakness in a network service.
Solution:
To establish the recommended configuration via configuration profiles, set the following Settings Catalog path to True (recommended):
Firewall\Enable Public Network Firewall
Impact:
None - this is the default behavior.
See Also:
https://workbench.cisecurity.org/benchmarks/21719
Reference:
800-171|3.13.1, 800-171|3.13.5, 800-171|3.13.6, 800-171r3|03.13.01, 800-171r3|03.13.06, 800-53|SC-7, 800-53|SC-7(5), 800-53r5|SC-7, 800-53r5|SC-7(5), CN-L3|7.1.2.2(c), CN-L3|8.1.10.6(j), CSCv7|9.4, CSCv8|4.5, CSF|DE.CM-1, CSF|PR.AC-5, CSF|PR.DS-5, CSF|PR.PT-4, CSF2.0|DE.CM-01, CSF2.0|PR.DS-01, CSF2.0|PR.DS-02, CSF2.0|PR.DS-10, CSF2.0|PR.IR-01, GDPR|32.1.b, HIPAA|164.306(a)(1), ISO-27001-2022|A.5.14, ISO-27001-2022|A.8.16, ISO-27001-2022|A.8.20, ISO/IEC-27001|A.13.1.3, ITSG-33|SC-7, ITSG-33|SC-7(5), LEVEL|1A, NESA|T4.5.4, NIAv2|GS1, NIAv2|GS2a, NIAv2|GS2b, NIAv2|GS7b, NIAv2|NS25, PCI-DSSv3.2.1|1.1, PCI-DSSv3.2.1|1.2, PCI-DSSv3.2.1|1.2.1, PCI-DSSv3.2.1|1.3, PCI-DSSv4.0|1.2.1, PCI-DSSv4.0|1.4.1, QCSC-v1|5.2.1, QCSC-v1|5.2.2, QCSC-v1|6.2, QCSC-v1|8.2.1, TBA-FIISB|43.1
Policy Value:
1
Actual Value:
1</t>
  </si>
  <si>
    <t>"6.2 (L1) Ensure 'Account Logon Logoff Audit Account Lockout' is set to include 'Failure': [PASSED]"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configuration profiles, set the following Settings Catalog path to Failure
Auditing\Account Logon Logoff 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CSCv7|16.6,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'failure' || 'success, failure'
Actual Value:
'failure'</t>
  </si>
  <si>
    <t>"103.6 (L1) Ensure 'Block 'Pause Updates' ability' is set to 'Block': [PASSED]"
This policy removes access to 'Pause updates' feature.
The recommended state for this setting is: Block
In order to ensure security and system updates are applied, system administrators should control when updates are applied to systems.
Solution:
To establish the recommended configuration via GP, set the following UI path to Block :
Windows Update For Business\Block 'Pause Updates' ability
Impact:
Users will not be able to select the 'Pause updates' option in Windows Update to prevent updates from being installed on a system.
See Also:
https://workbench.cisecurity.org/benchmarks/21719
Reference:
800-171|3.11.2, 800-171|3.11.3, 800-171|3.14.1, 800-171r3|03.11.02, 800-171r3|03.14.01, 800-53|RA-5, 800-53|SI-2, 800-53|SI-2(2), 800-53r5|RA-5, 800-53r5|RA-7, 800-53r5|SI-2, 800-53r5|SI-2(2), CN-L3|8.1.4.4(e), CN-L3|8.1.10.5(a), CN-L3|8.1.10.5(b), CN-L3|8.5.4.1(b), CN-L3|8.5.4.1(d), CN-L3|8.5.4.1(e), CSCv7|3.4, CSCv8|7.3, CSF|DE.CM-8, CSF|DE.DP-4, CSF|DE.DP-5, CSF|ID.RA-1, CSF|PR.IP-12, CSF|RS.CO-3, CSF|RS.MI-3, CSF2.0|GV.SC-10, CSF2.0|ID.IM-01, CSF2.0|ID.IM-02, CSF2.0|ID.IM-03, CSF2.0|ID.RA-01, CSF2.0|ID.RA-08, CSF2.0|PR.PS-02, GDPR|32.1.b, GDPR|32.1.d, HIPAA|164.306(a)(1), ISO-27001-2022|A.6.8, ISO-27001-2022|A.8.8, ISO-27001-2022|A.8.32, ISO/IEC-27001|A.12.6.1, ITSG-33|RA-5, ITSG-33|SI-2, ITSG-33|SI-2(2), LEVEL|1A, NESA|M1.2.2, NESA|M5.4.1, NESA|T7.6.2, NESA|T7.7.1, NIAv2|PR9, PCI-DSSv3.2.1|6.1, PCI-DSSv3.2.1|6.2, PCI-DSSv4.0|6.3, PCI-DSSv4.0|6.3.1, PCI-DSSv4.0|6.3.3, QCSC-v1|3.2, QCSC-v1|5.2.1, QCSC-v1|5.2.2, QCSC-v1|5.2.3, QCSC-v1|8.2.1, QCSC-v1|10.2.1, QCSC-v1|11.2, SWIFT-CSCv1|2.2, SWIFT-CSCv1|2.7
Policy Value:
1
Actual Value:
1</t>
  </si>
  <si>
    <t>"81.41 (L1) Ensure 'Xbox Live Game Save (XblGameSave)' is set to 'Disabled': [PASSED]"
This service syncs save data for Xbox Live save enabled games.
The recommended state for this setting is: Disabled
Xbox Live is a gaming service and has no place in an enterprise managed environment (perhaps unless it is a gaming company).
Solution:
To establish the recommended configuration via configuration profiles, set the following Settings Catalog path to Disabled
System Services\Xbox Live Game Save
Impact:
Game save data will not upload to or download from Xbox Live.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4</t>
  </si>
  <si>
    <t>"4.10.5.2 (L1) Ensure 'Remote host allows delegation of non-exportable credentials' is set to 'Enabled': [PASSED]"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configuration profiles, set the following Settings Catalog path to Enabled
Administrative Templates\System\Credentials Delegation\Remote host allows delegation of non-exportable credentials
Impact:
The host will support the
Restricted Admin Mode
and
Windows Defender Remote Credential Guard
features.
See Also:
https://workbench.cisecurity.org/benchmarks/21719
Reference:
800-171|3.5.2, 800-171r3|03.05.12, 800-53|IA-5, 800-53r5|IA-5, CSCv7|16.5, CSF|PR.AC-1, CSF2.0|PR.AA-01, CSF2.0|PR.AA-03, GDPR|32.1.b, HIPAA|164.306(a)(1), HIPAA|164.312(a)(2)(i), HIPAA|164.312(d), ISO-27001-2022|A.5.16, ISO-27001-2022|A.5.17, ITSG-33|IA-5, LEVEL|1A, NESA|T5.2.3, QCSC-v1|5.2.2, QCSC-v1|13.2
Policy Value:
1
Actual Value:
1</t>
  </si>
  <si>
    <t>"98.2 (L1) Ensure 'Allow Windows Ink Workspace' is set to 'Enabled: but the user can't access it above the lock screen' OR 'Disabled': [PASSED]"
This policy setting determines whether Windows Ink items are allowed above the lock screen.
The recommended state for this setting is: Ink workspace is enabled (feature is turned on), but the user can't access it above the lock screen OR Access to ink workspace is disabled. The feature is turned off
Allowing any apps to be accessed while system is locked is not recommended. If this feature is permitted, it should only be accessible once a user authenticates with the proper credentials.
Solution:
To establish the recommended configuration via configuration profiles, set the following Settings Catalog path to Ink workspace is enabled (feature is turned on), but the user can't access it above the lock screen OR Access to ink workspace is disabled. The feature is turned off
Windows Ink Workspace\Allow Windows Ink Workspace
Impact:
Windows Ink Workspace will not be permitted above the lock screen.
See Also:
https://workbench.cisecurity.org/benchmarks/21719
Reference:
800-171|3.4.6, 800-171|3.4.7, 800-171r3|03.04.06b., 800-53|CM-7b., 800-53r5|CM-7b., CN-L3|7.1.3.5(c), CN-L3|7.1.3.7(d), CN-L3|8.1.4.4(b), CSCv7|9.2, CSF|PR.IP-1, CSF|PR.PT-3, CSF2.0|PR.PS-01, GDPR|32.1.b, HIPAA|164.306(a)(1), ITSG-33|CM-7a., LEVEL|1A, NIAv2|SS13b, NIAv2|SS14a, NIAv2|SS14c, PCI-DSSv3.2.1|2.2.2, PCI-DSSv4.0|2.2.4, QCSC-v1|3.2, SWIFT-CSCv1|2.3
Policy Value:
0 || 1
Actual Value:
1</t>
  </si>
  <si>
    <t>"4.7.2 (L1) Ensure 'Configure Redirection Guard: Redirection Guard Options' is set to 'Enabled: Redirection Guard Enabled': [PASSED]"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configuration profiles, set the following Settings Catalog path to Enabled: Redirection Guard Enabled :
Administrative Templates\Printers\Configure Redirection Guard: Redirection Guard Options
Impact:
None - this is default behavior.
See Also:
https://workbench.cisecurity.org/benchmarks/21719
Reference:
800-53|SI-16, 800-53r5|SI-16, CSCv7|8.3, CSCv8|10.5, CSF2.0|PR.DS-10, GDPR|32.1.b, HIPAA|164.306(a)(1), ITSG-33|SI-16, LEVEL|1A
Policy Value:
1
Actual Value:
1</t>
  </si>
  <si>
    <t>"49.11 (L1) Ensure 'Interactive logon: Smart card removal behavior' is set to 'Lock Workstation' or higher: [FAILED]"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configuration profiles, set the following Settings Catalog path to Lock Workstation (or, if applicable for your environment, Force Logoff or Disconnect if a Remote Desktop Services session ):
Local Policies 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https://workbench.cisecurity.org/benchmarks/21719
Reference:
800-171|3.1.1, 800-171|3.1.10, 800-171|3.1.11, 800-171r3|03.01.01h., 800-171r3|03.01.10, 800-171r3|03.01.11, 800-53|AC-2(5), 800-53|AC-11, 800-53|AC-11(1), 800-53|AC-12, 800-53r5|AC-2(5), 800-53r5|AC-11, 800-53r5|AC-11(1), 800-53r5|AC-12, CN-L3|7.1.2.2(d), CN-L3|7.1.3.2(d), CN-L3|7.1.3.7(b), CN-L3|8.1.4.1(b), CSCv7|16.11, CSCv8|4.3, CSF|PR.AC-1, CSF|PR.AC-4, CSF2.0|DE.CM-01, CSF2.0|DE.CM-03, CSF2.0|PR.AA-01, CSF2.0|PR.AA-03, CSF2.0|PR.AA-05, CSF2.0|PR.DS-10, GDPR|32.1.b, HIPAA|164.306(a)(1), HIPAA|164.312(a)(1), HIPAA|164.312(a)(2)(iii), ISO-27001-2022|A.5.16, ISO-27001-2022|A.5.18, ISO-27001-2022|A.7.7, ISO-27001-2022|A.8.1, ISO-27001-2022|A.8.2, ISO/IEC-27001|A.9.2.1, ISO/IEC-27001|A.11.2.8, ITSG-33|AC-2(5), ITSG-33|AC-11, ITSG-33|AC-11(1), ITSG-33|AC-12, LEVEL|1A, NIAv2|AM23c, NIAv2|AM23d, NIAv2|AM28, NIAv2|NS5j, NIAv2|NS49, NIAv2|SS14e, PCI-DSSv3.2.1|8.1.8, PCI-DSSv4.0|8.2.8, QCSC-v1|5.2.2, QCSC-v1|8.2.1, QCSC-v1|13.2, QCSC-v1|15.2, TBA-FIISB|36.2.1, TBA-FIISB|37.1.4
Policy Value:
'^(1|2|3)$'
Actual Value:
'0'</t>
  </si>
  <si>
    <t>"22.2 (L1) Ensure 'Allow Email Scanning' is set to 'Allowed': [PASSED]"
This policy setting allows you to configure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Allowed
Incoming e-mails should be scanned by an antivirus solution such as Microsoft Defender Antivirus, as email attachments are a commonly used attack vector to infiltrate computers with malicious software.
Solution:
To establish the recommended configuration via configuration profiles, set the following Settings Catalog path to Allowed
Defender\Allow Email Scanning
Impact:
E-mail scanning by Microsoft Defender Antivirus will be enabled.
See Also:
https://workbench.cisecurity.org/benchmarks/21719
Reference:
800-171|3.14.2, 800-171|3.14.4, 800-171|3.14.5, 800-171r3|03.14.02, 800-53|SI-3, 800-53r5|SI-3, CN-L3|7.1.3.6(b), CN-L3|8.1.4.5, CN-L3|8.1.9.6(a), CN-L3|8.1.9.6(b), CN-L3|8.1.10.5(b), CN-L3|8.1.10.7(a), CN-L3|8.1.10.7(b), CSCv7|8.1, CSCv8|10.1, CSF|DE.CM-4, CSF|DE.DP-3, CSF2.0|PR.DS-01, CSF2.0|PR.DS-02, CSF2.0|PR.DS-10, GDPR|32.1.b, HIPAA|164.306(a)(1), ISO-27001-2022|A.8.7, ISO/IEC-27001|A.12.2.1, ITSG-33|SI-3, LEVEL|1A, NIAv2|GS8a, PCI-DSSv3.2.1|5.1, PCI-DSSv3.2.1|5.1.1, PCI-DSSv4.0|5.2.1, QCSC-v1|3.2, QCSC-v1|5.2.3, QCSC-v1|8.2.1, TBA-FIISB|49.2.1, TBA-FIISB|49.2.2, TBA-FIISB|49.3.1, TBA-FIISB|49.3.2, TBA-FIISB|50.2.1, TBA-FIISB|51.2.4, TBA-FIISB|51.2.7
Policy Value:
1
Actual Value:
1</t>
  </si>
  <si>
    <t>"4.10.30.2 (L1) Ensure 'Configure Solicited Remote Assistance' is set to 'Disabled': [PASSED]"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configuration profiles, set the following Settings Catalog path to Disabled
Administrative Templates\System\Remote Assistance\Configure Solicited Remote Assistance
Impact:
Users on this computer cannot use e-mail or file transfer to ask someone for help. Also, users cannot use instant messaging programs to allow connections to this computer.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0
Actual Value:
0</t>
  </si>
  <si>
    <t>"4.11.50.2 (L1) Ensure 'Sign-in and lock last interactive user automatically after a restart' is set to 'Disabled': [PASSED]"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configuration profiles, set the following Settings Catalog path to Disabled
Administrative Templates\Windows Components\Windows Logon Options\Sign-in and lock last interactive user automatically after a restart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https://workbench.cisecurity.org/benchmarks/21719
Reference:
800-171|3.1.10, 800-171r3|03.01.10, 800-53|AC-11, 800-53r5|AC-11, CN-L3|8.1.4.1(b), CSCv7|16.11, GDPR|32.1.b, HIPAA|164.306(a)(1), HIPAA|164.312(a)(2)(iii), ISO-27001-2022|A.7.7, ISO-27001-2022|A.8.1, ISO/IEC-27001|A.11.2.8, ITSG-33|AC-11, LEVEL|1A, NIAv2|AM23c, NIAv2|AM23d, PCI-DSSv3.2.1|8.1.8, PCI-DSSv4.0|8.2.8
Policy Value:
1
Actual Value:
1</t>
  </si>
  <si>
    <t>"4.11.6.3 (L1) Ensure 'Turn off Autoplay' is set to 'Enabled: All drives': [PASSED]"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configuration profiles, set the following Settings Catalog path to Enabled: All drives
Administrative Templates\Windows Components\AutoPlay Policies\Turn off Autoplay
Impact:
Autoplay will be disabled - users will have to manually launch setup or installation programs that are provided on removable media.
See Also:
https://workbench.cisecurity.org/benchmarks/21719
Reference:
800-171|3.8.7, 800-171r3|03.08.07, 800-53|MP-7, 800-53r5|MP-7, CN-L3|8.5.4.1(c), CSCv7|8.5, CSCv8|10.3, CSF|PR.PT-2, GDPR|32.1.b, HIPAA|164.306(a)(1), HIPAA|164.312(a)(1), ISO-27001-2022|A.5.10, ISO-27001-2022|A.7.10, ISO/IEC-27001|A.8.3.1, ISO/IEC-27001|A.8.3.3, LEVEL|1A, NESA|T1.4.1
Policy Value:
255
Actual Value:
255</t>
  </si>
  <si>
    <t>"49.25 (L1) Ensure 'Network Security Minimum Session Security For NTLMSSP Based Clients' is set to 'Require NTLM and 128-bit encryption': [PASSED]"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 and 128-bit encryption
Note: These values are dependent on the
Network security: LAN Manager Authentication Level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configuration profiles, set the following Settings Catalog path to Require NTLM and 128-bit encryption :
Local Policies 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https://workbench.cisecurity.org/benchmarks/21719
Reference:
800-171|3.1.13, 800-171|3.5.2, 800-171|3.13.8, 800-171r3|03.05.07, 800-171r3|03.05.12, 800-171r3|03.13.08, 800-53|AC-17(2), 800-53|IA-5, 800-53|IA-5(1), 800-53|SC-8, 800-53|SC-8(1), 800-53r5|AC-17(2), 800-53r5|IA-5, 800-53r5|IA-5(1), 800-53r5|SC-8, 800-53r5|SC-8(1), CN-L3|7.1.2.7(g), CN-L3|7.1.3.1(d), CN-L3|8.1.2.2(a), CN-L3|8.1.2.2(b), CN-L3|8.1.4.1(c), CN-L3|8.1.4.7(a), CN-L3|8.1.4.8(a), CN-L3|8.2.4.5(c), CN-L3|8.2.4.5(d), CN-L3|8.5.2.2, CSCv7|12.5, CSCv8|3.10, CSF|PR.AC-1, CSF|PR.AC-3, CSF|PR.DS-2, CSF|PR.DS-5, CSF|PR.PT-4, CSF2.0|PR.AA-01, CSF2.0|PR.AA-03, CSF2.0|PR.AA-05, CSF2.0|PR.DS-02, GDPR|32.1.a, GDPR|32.1.b, HIPAA|164.306(a)(1), HIPAA|164.312(a)(1), HIPAA|164.312(a)(2)(i), HIPAA|164.312(d), HIPAA|164.312(e)(1), HIPAA|164.312(e)(2)(i), ISO-27001-2022|A.5.10, ISO-27001-2022|A.5.14, ISO-27001-2022|A.5.16, ISO-27001-2022|A.5.17, ISO-27001-2022|A.5.33, ISO-27001-2022|A.6.7, ISO-27001-2022|A.8.20, ISO/IEC-27001|A.6.2.2, ISO/IEC-27001|A.10.1.1, ISO/IEC-27001|A.13.2.3, ITSG-33|AC-17(2), ITSG-33|IA-5, ITSG-33|IA-5(1), ITSG-33|SC-8, ITSG-33|SC-8a., ITSG-33|SC-8(1), LEVEL|1A, NESA|T4.3.1, NESA|T4.3.2, NESA|T4.5.1, NESA|T4.5.2, NESA|T5.2.3, NESA|T5.4.2, NESA|T7.3.3, NESA|T7.4.1, NIAv2|AM37, NIAv2|IE8, NIAv2|IE9, NIAv2|IE12, NIAv2|NS5d, NIAv2|NS6b, NIAv2|NS29, NIAv2|SS24, PCI-DSSv3.2.1|2.3, PCI-DSSv3.2.1|4.1, PCI-DSSv4.0|2.2.7, PCI-DSSv4.0|4.2.1, QCSC-v1|3.2, QCSC-v1|5.2.1, QCSC-v1|5.2.2, QCSC-v1|6.2, QCSC-v1|13.2, SWIFT-CSCv1|2.1, SWIFT-CSCv1|2.6, SWIFT-CSCv1|4.1, TBA-FIISB|29.1
Policy Value:
537395200
Actual Value:
537395200</t>
  </si>
  <si>
    <t>"4.11.15.4.1 (L1) Ensure 'Control Event Log behavior when the log file reaches its maximum size' is set to 'Disabled':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configuration profiles, set the following Settings Catalog path to Disabled
Administrative Templates\Windows Components\Event Log Service\System\Control Event Log behavior when the log file reaches its maximum size
Impact:
None - this is the default behavior.
See Also:
https://workbench.cisecurity.org/benchmarks/21719
Reference:
800-53|AU-4, 800-53r5|AU-4, CSCv7|6.4, CSCv8|8.3, CSF|PR.DS-4, CSF|PR.PT-1, GDPR|32.1.b, HIPAA|164.306(a)(1), HIPAA|164.312(b), ISO-27001-2022|A.8.6, ITSG-33|AU-4, LEVEL|1A, NESA|T3.3.1, NESA|T3.6.2, QCSC-v1|8.2.1, QCSC-v1|13.2
Policy Value:
'0'
Actual Value:
'0'</t>
  </si>
  <si>
    <t>"6.24 (L1) Ensure 'System Audit I Psec Driver' is set to 'Success and Failure': [PASSED]"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configuration profiles, set the following Settings Catalog path to Success and Failure
Auditing\System Audit I 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https://workbench.cisecurity.org/benchmarks/21719
Reference:
800-171|3.3.1, 800-171|3.3.2, 800-171|3.3.6, 800-171r3|03.03.02a., 800-171r3|03.03.02b., 800-171r3|03.03.03, 800-171r3|03.03.06a., 800-53|AU-3, 800-53|AU-3(1), 800-53|AU-7, 800-53|AU-12, 800-53r5|AU-3, 800-53r5|AU-3(1), 800-53r5|AU-7, 800-53r5|AU-12, CN-L3|7.1.2.3(a), CN-L3|7.1.2.3(b), CN-L3|7.1.2.3(c), CN-L3|7.1.3.3(a), CN-L3|7.1.3.3(b), CN-L3|8.1.4.3(b), CSCv7|6.3, CSCv8|8.5, CSF|DE.CM-1, CSF|DE.CM-3, CSF|DE.CM-7, CSF|PR.PT-1, CSF|RS.AN-3, CSF2.0|DE.CM-01, CSF2.0|DE.CM-03, CSF2.0|DE.CM-09, CSF2.0|PR.PS-04, CSF2.0|RS.AN-03, CSF2.0|RS.AN-06, CSF2.0|RS.AN-07, GDPR|32.1.b, HIPAA|164.306(a)(1), HIPAA|164.312(b), ISO-27001-2022|A.5.28, ISO-27001-2022|A.8.15, ITSG-33|AU-3, ITSG-33|AU-3(1), ITSG-33|AU-7, ITSG-33|AU-12, LEVEL|1A, NESA|T3.6.2, NIAv2|AM34a, NIAv2|AM34b, NIAv2|AM34c, NIAv2|AM34d, NIAv2|AM34e, NIAv2|AM34f, NIAv2|AM34g, PCI-DSSv3.2.1|10.1, PCI-DSSv3.2.1|10.3, PCI-DSSv3.2.1|10.3.1, PCI-DSSv3.2.1|10.3.2, PCI-DSSv3.2.1|10.3.3, PCI-DSSv3.2.1|10.3.4, PCI-DSSv3.2.1|10.3.5, PCI-DSSv3.2.1|10.3.6, PCI-DSSv4.0|10.2.2, QCSC-v1|3.2, QCSC-v1|6.2, QCSC-v1|8.2.1, QCSC-v1|10.2.1, QCSC-v1|11.2, QCSC-v1|13.2, SWIFT-CSCv1|6.4
Policy Value:
'success, failure'
Actual Value:
'success, failure'</t>
  </si>
  <si>
    <t>"81.29 (L1) Ensure 'Web Management Service (WMSvc)' is set to 'Disabled' or 'Not Installed': [PASSED]"
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
Solution:
To establish the recommended configuration, set the following Custom Configuration Policy to 4 or confirm that the service is Not installed :
Name:  &lt;Enter name&gt;
Description: &lt;Enter Description&gt;
OMA-URI: ./Device/Vendor/MSFT/Policy/Config/SystemServices/ConfigureWebManagementServiceStartupMode
Data Type: Integer
Value: 4
Note: As of January 2024, despite its inclusion in Microsoft's official documentation, using an OMI-URI to configure a Windows Service Startup Mode via a custom profile will lead to an error in Intune. This error will be logged in the local event log as 'The system cannot find the file specified.' Currently, the most reliable method for remediation is through PowerShell.
The recommended configuration can also be established via PowerShell by running the following cmdlet:
Set-Service -Name WMSvc -StartupType Disabled
Impact:
Remote web-based management of IIS will not be available.
See Also:
https://workbench.cisecurity.org/benchmarks/21719
Reference:
800-171|3.4.2, 800-171|3.4.6, 800-171|3.4.7, 800-171r3|03.04.02, 800-171r3|03.04.06, 800-53|CM-6, 800-53|CM-7, 800-53r5|CM-6, 800-53r5|CM-7, CSCv7|9.2, CSCv8|4.8, CSF|PR.IP-1, CSF|PR.PT-3, CSF2.0|DE.CM-09, CSF2.0|PR.PS-01, GDPR|32.1.b, HIPAA|164.306(a)(1), ISO-27001-2022|A.8.9, ITSG-33|CM-6, ITSG-33|CM-7, LEVEL|1A, NIAv2|SS15a, PCI-DSSv3.2.1|2.2.2, SWIFT-CSCv1|2.3
Policy Value:
4
Actual Value:
NULL</t>
  </si>
  <si>
    <t>"94.1 (L1) Ensure 'Allow widgets' is set to 'Not allowed': [PASSED]"
This policy setting specifies whether the Widgets feature is allowed on the device. The Widgets feature provides information such as, weather, news, sports, stocks, traffic, and entertainment (not an inclusive list).
The recommended state for this setting is: Not allowed
Due to privacy concerns, apps and features such as Widgets on the Windows taskbar should be treated as a possible security risk due to the potential of data being sent back to third-parties, such as Microsoft.
Solution:
To establish the recommended configuration via configuration profiles, set the following Settings Catalog path to Not Allowed
Widgets\Allow widgets
Impact:
The Widgets feature on the Windows taskbar will not be available on the device.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</si>
  <si>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"80.8 (L1) Ensure 'Limit Dump Collection' is set to 'Enabled': [PASSED]"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Sending this data to a third-party vendor is a security concern and should only be done on an as-needed basis.
Solution:
To establish the recommended configuration via configuration profiles, set the following Settings Catalog path to Enabled
System\Limit Dump Collection
Impact:
Windows Error Reporting is limited to sending kernel mini and user mode triage memory dumps, reducing the risk of sending sensitive information to Microsoft.
See Also:
https://workbench.cisecurity.org/benchmarks/21719
Reference:
800-171|3.3.1, 800-171|3.3.2, 800-171r3|03.03.01, 800-53|AU-2, 800-53r5|AU-2, CN-L3|8.1.4.3(a), CSF|PR.PT-1, CSF2.0|PR.PS-04, GDPR|32.1.b, HIPAA|164.306(a)(1), HIPAA|164.312(b), ISO-27001-2022|A.8.15, ITSG-33|AU-2, LEVEL|1A, NESA|M1.2.2, NESA|M5.5.1, NIAv2|AM7, NIAv2|AM11a, NIAv2|AM11b, NIAv2|AM11c, NIAv2|AM11d, NIAv2|AM11e, NIAv2|SS30, NIAv2|VL8, QCSC-v1|8.2.1, QCSC-v1|13.2, SWIFT-CSCv1|6.4
Policy Value:
1
Actual Value:
1</t>
  </si>
  <si>
    <t>"89.26 (L1) Ensure 'Manage Volume' is set to 'Administrators': [PASSED]"
This policy setting allows users to manage the system's volume or disk configuration, which could allow a user to delete a volume and cause data loss as well as a denial-of-service condition.
The recommended state for this setting is: *S-1-5-32-544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configuration profiles, set the following Settings Catalog path to *S-1-5-32-544 (Administrators).
User Rights\Manage Volume
Note: Include only one User or Group per line in the Settings Catalog configuration screen.\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Actual Value:
'administrators'</t>
  </si>
  <si>
    <t>"4.10.26.7 (L1) Ensure 'Turn on convenience PIN sign-in' is set to 'Disabled': [PASSED]"
This policy setting allows you to control whether a user can sign in using a convenience PIN.
Note: The user's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configuration profiles, set the following Settings Catalog path to Disabled
Administrative Templates\System\Logon\Turn on convenience PIN sign-in
Impact:
None - this is the default behavior.
See Also:
https://workbench.cisecurity.org/benchmarks/21719
Reference:
800-171|3.4.2, 800-171|3.4.6, 800-171|3.4.7, 800-171r3|03.04.02, 800-171r3|03.04.06, 800-53|CM-6, 800-53|CM-7, 800-53r5|CM-6, 800-53r5|CM-7, CSCv8|4.8, CSF|PR.IP-1, CSF|PR.PT-3, CSF2.0|DE.CM-09, CSF2.0|PR.PS-01, GDPR|32.1.b, HIPAA|164.306(a)(1), ISO-27001-2022|A.8.9, ITSG-33|CM-6, ITSG-33|CM-7, LEVEL|1A, NIAv2|SS15a, PCI-DSSv3.2.1|2.2.2, SWIFT-CSCv1|2.3
Policy Value:
0
Actual Value:
0</t>
  </si>
  <si>
    <t>"4.7.11 (L1) Ensure 'Point and Print Restrictions: When updating drivers for an existing connection' is set to 'Enabled: Show warning and elevation prompt': [PASSED]"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configuration profiles, set the following Settings Catalog path to Enabled: Show warning and elevation prompt
Administrative Templates\Printers\Point and Print Restrictions: When updating drivers for an existing connection
Impact:
None - this is the default behavior.
See Also:
https://workbench.cisecurity.org/benchmarks/21719
Reference:
800-171|3.4.2, 800-171r3|03.04.02a., 800-53|CM-6b., 800-53r5|CM-6b., CN-L3|8.1.10.6(d), CSF|PR.IP-1, CSF2.0|DE.CM-09, CSF2.0|PR.PS-01, GDPR|32.1.b, HIPAA|164.306(a)(1), ISO-27001-2022|A.8.9, ITSG-33|CM-6b., LEVEL|1A, NESA|T3.2.1, SWIFT-CSCv1|2.3
Policy Value:
0
Actual Value:
0</t>
  </si>
  <si>
    <t>"89.30 (L1) Ensure 'Profile System Performance' is set to 'Administrators, NT SERVICE\WdiServiceHost': [PASSED]"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*S-1-5-32-544, *S-1-5-80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configuration profiles, set the following Settings Catalog path to *S-1-5-32-544, *S-1-5-80 (Administrators, NT SERVICE\WdiServiceHost).
User Rights\Profile System Performance
Impact:
None - this is the default behavior.
See Also:
https://workbench.cisecurity.org/benchmarks/21719
Reference:
800-171|3.1.1, 800-171|3.1.5, 800-171|3.3.8, 800-171|3.3.9, 800-171r3|03.01.01, 800-171r3|03.01.02, 800-171r3|03.01.05, 800-171r3|03.01.05a., 800-171r3|03.01.05b., 800-171r3|03.03.08b., 800-53|AC-2, 800-53|AC-3, 800-53|AC-6, 800-53|AC-6(1), 800-53|AC-6(7), 800-53|AU-9(4), 800-53r5|AC-2, 800-53r5|AC-5, 800-53r5|AC-6, 800-53r5|AC-6(1), 800-53r5|AC-6(7), 800-53r5|AU-9(4), CN-L3|7.1.3.2(b), CN-L3|7.1.3.2(d), CN-L3|7.1.3.2(g), CN-L3|8.1.4.2(d), CN-L3|8.1.4.2(f), CN-L3|8.1.4.3(d), CN-L3|8.1.4.11(b), CN-L3|8.1.10.2(c), CN-L3|8.1.10.6(a), CN-L3|8.5.3.1, CN-L3|8.5.4.1(a), CSCv8|6.8, CSF|DE.CM-1, CSF|DE.CM-3, CSF|PR.AC-1, CSF|PR.AC-4, CSF|PR.DS-5, CSF|PR.PT-1, CSF|PR.PT-3, CSF2.0|DE.CM-01, CSF2.0|DE.CM-03, CSF2.0|PR.AA-01, CSF2.0|PR.AA-05, CSF2.0|PR.DS-10, CSF2.0|PR.IR-01, GDPR|32.1.b, HIPAA|164.306(a)(1), HIPAA|164.312(a)(1), HIPAA|164.312(b), ISO-27001-2022|A.5.15, ISO-27001-2022|A.5.16, ISO-27001-2022|A.5.18, ISO-27001-2022|A.5.33, ISO-27001-2022|A.8.2, ISO-27001-2022|A.8.3, ISO-27001-2022|A.8.15, ISO-27001-2022|A.8.18, ISO-27001-2022|A.8.20, ISO/IEC-27001|A.9.2.1, ISO/IEC-27001|A.9.2.5, ISO/IEC-27001|A.9.4.1, ISO/IEC-27001|A.9.4.4, ISO/IEC-27001|A.9.4.5, ISO/IEC-27001|A.12.4.2, ITSG-33|AC-2, ITSG-33|AC-3, ITSG-33|AC-6, ITSG-33|AC-6(1), ITSG-33|AU-9(4), ITSG-33|AU-9(4)(a), ITSG-33|AU-9(4)(b), LEVEL|1A, NESA|M1.1.3, NESA|M1.2.2, NESA|M5.2.3, NESA|M5.5.2, NESA|T4.2.1, NESA|T5.1.1, NESA|T5.2.2, NESA|T5.4.1, NESA|T5.4.4, NESA|T5.4.5, NESA|T5.5.4, NESA|T5.6.1, NESA|T7.5.2, NESA|T7.5.3, NIAv2|AM1, NIAv2|AM3, NIAv2|AM23f, NIAv2|AM28, NIAv2|AM31, NIAv2|GS3, NIAv2|GS4, NIAv2|GS8c, NIAv2|NS5j, NIAv2|SM5, NIAv2|SM6, NIAv2|SS13c, NIAv2|SS14e, NIAv2|SS15c, NIAv2|SS29, NIAv2|VL3b, PCI-DSSv3.2.1|7.1.2, PCI-DSSv3.2.1|10.5, PCI-DSSv3.2.1|10.5.2, PCI-DSSv4.0|7.2.1, PCI-DSSv4.0|7.2.2, PCI-DSSv4.0|10.3.2, QCSC-v1|3.2, QCSC-v1|5.2.2, QCSC-v1|6.2, QCSC-v1|8.2.1, QCSC-v1|13.2, QCSC-v1|15.2, SWIFT-CSCv1|5.1, TBA-FIISB|31.1, TBA-FIISB|31.4.2, TBA-FIISB|31.4.3
Policy Value:
'Administrators' &amp;&amp; ('NT SERVICE\WdiServiceHost' || 'WdiServiceHost')
Actual Value:
'wdiservicehost' &amp;&amp; 'administrators'</t>
  </si>
  <si>
    <t>Conclusion</t>
  </si>
  <si>
    <t>Proof / Explanation</t>
  </si>
  <si>
    <t>Action</t>
  </si>
  <si>
    <t>s1</t>
  </si>
  <si>
    <t>s2</t>
  </si>
  <si>
    <t>s3</t>
  </si>
  <si>
    <t>s4</t>
  </si>
  <si>
    <t>s5</t>
  </si>
  <si>
    <t>s6</t>
  </si>
  <si>
    <t>Updated config, but this setting is not relevant to intune managed devices.</t>
  </si>
  <si>
    <t>Updated</t>
  </si>
  <si>
    <t xml:space="preserve"> </t>
  </si>
  <si>
    <t>CIS recommends using the Microsoft default setting by setting this to 0. Microsoft's default setting is to Enable it. Our config sets to 1 which forces it to enabled. 1 and 0 should do the same thing unless Microsoft changes the default in the future, which is unlikely.</t>
  </si>
  <si>
    <t>The SmartScreen CSP does not seem to enable it properly. Smartscreen is enabled, but can be turned off, which is Microsoft default setting. Previously I was using the ADMX_WindowsExplorer policy. I've readded this policy which will hopefully work.</t>
  </si>
  <si>
    <t>Previously this was opposed so we could use RDP in certain cases, but this is no longer the case. The configuration will be updated. I may move RDP configuration to a different script so it's easier to manage if RDP is required.</t>
  </si>
  <si>
    <t>The CSP URI does not work. This will need to be set from a new policy that does not use OMAURI. Microsoft mentions best practice is to not use OMAURI for this because it's "too complicated". Go figure.</t>
  </si>
  <si>
    <t>separate policy</t>
  </si>
  <si>
    <t>Opposed. We found this setting breaks office and decided to leave it disabled.</t>
  </si>
  <si>
    <t>none</t>
  </si>
  <si>
    <t>CIS benchmark issue. This setting can not be set unless 26.1 value is set to 0, but currently CIS setting says it must be 1. See ticket https://workbench.cisecurity.org/benchmarks/21719/tickets/24952. CIS will be updating this value. I have updated 26.1 to 0 to resolve this, but 26.1 will likely fail on next audit.</t>
  </si>
  <si>
    <t>We had this set to 3 which is stronger, but will update this to 2 since 3 is not supported by Microsoft accounts.</t>
  </si>
  <si>
    <t>Opposed. Device Password will not expire. MFA is enforced on all accounts as recommended by NIST.</t>
  </si>
  <si>
    <t>Opposed. Since passwords will not expire, none will be remembered</t>
  </si>
  <si>
    <t>CIS benchmark issue + config issue. This setting can not be set unless 26.1 value is set to 0, but currently CIS setting says it must be 1. See ticket https://workbench.cisecurity.org/benchmarks/21719/tickets/24952. CIS will be updating this value. I have updated 26.1 to 0 to resolve this, but 26.1 will likely fail on next audit. Also added 26.7 to the Lock after 10 minutes configuration.</t>
  </si>
  <si>
    <t>Opposed: By showing the last user, users can tell if someone else signed in to their machine since their name will no longer show.</t>
  </si>
  <si>
    <t>Opposed. No real benefit to this and may make users think computer is frozen.</t>
  </si>
  <si>
    <t>Did not assign the Lock after 10 minutes policy before audit run. Should be fixed on next audit as long as the policy is assigned.</t>
  </si>
  <si>
    <t>Intune is unable to assign this policy using OMAURI. Need to move this into a separate non-OMAURI policy</t>
  </si>
  <si>
    <t>Opposed. When using LAPs, this prevents elevating the current user session using the LAPs admin account. This configuration assumes you will log out of the current user and login under the LAPs admin in a new session. We prefer to use the current user session and just elevate.</t>
  </si>
  <si>
    <t>Originally opposed this because it may interfere with SSPR. However, we will not update this to implemented because we're trying to move to passwordless anyway.</t>
  </si>
  <si>
    <t>Documented there is an issue setting this policy with OMAURI. Will try adding it to a separate non-OMAURI policy.</t>
  </si>
  <si>
    <t>Opposed. All files are encrypted on the device. We want users to be able to find these files if they search.</t>
  </si>
  <si>
    <t>This setting can't be set by the Endpoint Protection Policy template. I will possibly move this to a different template so it can be implemented.</t>
  </si>
  <si>
    <t>Opposed. We will utilize a third party update software.</t>
  </si>
  <si>
    <t>We used the "improved readability setting" instead of the CIS setting. I will update this to match CIS, because we didn't find the readbility much improved anyway.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</si>
</sst>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1"/>
      <color rgb="FF00B050"/>
      <name val="Aptos Narrow"/>
      <family val="2"/>
      <scheme val="minor"/>
    </font>
    <font>
      <b/>
      <sz val="11"/>
      <color rgb="FFC00000"/>
      <name val="Aptos Narrow"/>
      <family val="2"/>
      <scheme val="minor"/>
    </font>
    <font>
      <b/>
      <sz val="11"/>
      <color rgb="FF0070C0"/>
      <name val="Aptos Narrow"/>
      <family val="2"/>
      <scheme val="minor"/>
    </font>
    <font>
      <b/>
      <sz val="11"/>
      <color rgb="FF00B050"/>
      <name val="Calibri"/>
      <family val="2"/>
    </font>
    <font>
      <sz val="11"/>
      <color theme="1"/>
      <name val="Calibri"/>
      <family val="2"/>
    </font>
    <font>
      <b/>
      <sz val="11"/>
      <color rgb="FFC00000"/>
      <name val="Calibri"/>
      <family val="2"/>
    </font>
    <font>
      <b/>
      <sz val="11"/>
      <color rgb="FF0070C0"/>
      <name val="Calibri"/>
      <family val="2"/>
    </font>
    <font>
      <b/>
      <sz val="11"/>
      <color theme="5" tint="-0.249977111117893"/>
      <name val="Calibri"/>
      <family val="2"/>
    </font>
    <font>
      <b/>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1" fontId="4" fillId="0" borderId="1" xfId="0" applyNumberFormat="1" applyFont="1" applyBorder="1" applyAlignment="1">
      <alignment horizontal="right"/>
    </xf>
    <xf numFmtId="0" fontId="1" fillId="0" borderId="0" xfId="0" applyFont="1" applyAlignment="1">
      <alignment vertical="center"/>
    </xf>
    <xf numFmtId="2" fontId="5" fillId="0" borderId="0" xfId="0" applyNumberFormat="1" applyFont="1"/>
    <xf numFmtId="0" fontId="6" fillId="0" borderId="0" xfId="0" applyFont="1" applyAlignment="1">
      <alignment vertical="top"/>
    </xf>
    <xf numFmtId="0" fontId="6" fillId="0" borderId="0" xfId="0" applyFont="1"/>
    <xf numFmtId="2" fontId="7" fillId="0" borderId="0" xfId="0" applyNumberFormat="1" applyFont="1"/>
    <xf numFmtId="2" fontId="8" fillId="0" borderId="1" xfId="0" applyNumberFormat="1" applyFont="1" applyBorder="1"/>
    <xf numFmtId="2" fontId="9" fillId="0" borderId="0" xfId="0" applyNumberFormat="1" applyFont="1"/>
    <xf numFmtId="2" fontId="6" fillId="0" borderId="0" xfId="0" applyNumberFormat="1" applyFont="1"/>
    <xf numFmtId="2" fontId="10" fillId="0" borderId="0" xfId="0" applyNumberFormat="1" applyFont="1" applyAlignment="1">
      <alignment vertical="center"/>
    </xf>
    <xf numFmtId="0" fontId="10" fillId="0" borderId="0" xfId="0" applyFont="1" applyAlignment="1">
      <alignment vertical="center"/>
    </xf>
    <xf numFmtId="0" fontId="10" fillId="0" borderId="0" xfId="0" applyFont="1" applyAlignment="1">
      <alignment vertical="top"/>
    </xf>
    <xf numFmtId="0" fontId="6" fillId="0" borderId="0" xfId="0" applyFont="1" applyAlignment="1">
      <alignment vertical="top" wrapText="1"/>
    </xf>
    <xf numFmtId="0" fontId="1" fillId="0" borderId="0" xfId="0" applyFont="1" applyAlignment="1">
      <alignment vertical="top" wrapText="1"/>
    </xf>
    <xf numFmtId="0" fontId="6" fillId="0" borderId="0" xfId="0" applyFont="1" applyAlignment="1">
      <alignment horizontal="left" vertical="top"/>
    </xf>
    <xf numFmtId="0" fontId="1" fillId="0" borderId="0" xfId="0" applyFont="1" applyAlignment="1">
      <alignment horizontal="left" vertical="top"/>
    </xf>
    <xf numFmtId="49" fontId="6" fillId="0" borderId="0" xfId="0" applyNumberFormat="1" applyFont="1" applyAlignment="1">
      <alignment horizontal="left" vertical="top"/>
    </xf>
  </cellXfs>
  <cellStyles count="1">
    <cellStyle name="Normal" xfId="0" builtinId="0"/>
  </cellStyles>
  <dxfs count="2">
    <dxf>
      <font>
        <b/>
        <i val="0"/>
        <color theme="0"/>
      </font>
      <fill>
        <patternFill>
          <bgColor rgb="FF00B050"/>
        </patternFill>
      </fill>
    </dxf>
    <dxf>
      <font>
        <b/>
        <i val="0"/>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25400</xdr:colOff>
          <xdr:row>26</xdr:row>
          <xdr:rowOff>12700</xdr:rowOff>
        </xdr:from>
        <xdr:to>
          <xdr:col>4</xdr:col>
          <xdr:colOff>400050</xdr:colOff>
          <xdr:row>26</xdr:row>
          <xdr:rowOff>368300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0</xdr:rowOff>
        </xdr:from>
        <xdr:to>
          <xdr:col>4</xdr:col>
          <xdr:colOff>393700</xdr:colOff>
          <xdr:row>32</xdr:row>
          <xdr:rowOff>368300</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33</xdr:row>
          <xdr:rowOff>0</xdr:rowOff>
        </xdr:from>
        <xdr:to>
          <xdr:col>4</xdr:col>
          <xdr:colOff>514350</xdr:colOff>
          <xdr:row>85</xdr:row>
          <xdr:rowOff>323850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86</xdr:row>
          <xdr:rowOff>0</xdr:rowOff>
        </xdr:from>
        <xdr:to>
          <xdr:col>4</xdr:col>
          <xdr:colOff>666750</xdr:colOff>
          <xdr:row>97</xdr:row>
          <xdr:rowOff>330200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160</xdr:row>
          <xdr:rowOff>0</xdr:rowOff>
        </xdr:from>
        <xdr:to>
          <xdr:col>4</xdr:col>
          <xdr:colOff>882650</xdr:colOff>
          <xdr:row>174</xdr:row>
          <xdr:rowOff>330200</xdr:rowOff>
        </xdr:to>
        <xdr:sp macro="" textlink="">
          <xdr:nvSpPr>
            <xdr:cNvPr id="1032" name="Object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175</xdr:row>
          <xdr:rowOff>0</xdr:rowOff>
        </xdr:from>
        <xdr:to>
          <xdr:col>4</xdr:col>
          <xdr:colOff>393700</xdr:colOff>
          <xdr:row>176</xdr:row>
          <xdr:rowOff>6350</xdr:rowOff>
        </xdr:to>
        <xdr:sp macro="" textlink="">
          <xdr:nvSpPr>
            <xdr:cNvPr id="1033" name="Object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179</xdr:row>
          <xdr:rowOff>0</xdr:rowOff>
        </xdr:from>
        <xdr:to>
          <xdr:col>4</xdr:col>
          <xdr:colOff>387350</xdr:colOff>
          <xdr:row>179</xdr:row>
          <xdr:rowOff>387350</xdr:rowOff>
        </xdr:to>
        <xdr:sp macro="" textlink="">
          <xdr:nvSpPr>
            <xdr:cNvPr id="1034" name="Object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238</xdr:row>
          <xdr:rowOff>0</xdr:rowOff>
        </xdr:from>
        <xdr:to>
          <xdr:col>4</xdr:col>
          <xdr:colOff>419100</xdr:colOff>
          <xdr:row>247</xdr:row>
          <xdr:rowOff>349250</xdr:rowOff>
        </xdr:to>
        <xdr:sp macro="" textlink="">
          <xdr:nvSpPr>
            <xdr:cNvPr id="1035" name="Object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69850</xdr:colOff>
          <xdr:row>339</xdr:row>
          <xdr:rowOff>25400</xdr:rowOff>
        </xdr:from>
        <xdr:to>
          <xdr:col>4</xdr:col>
          <xdr:colOff>457200</xdr:colOff>
          <xdr:row>339</xdr:row>
          <xdr:rowOff>361950</xdr:rowOff>
        </xdr:to>
        <xdr:sp macro="" textlink="">
          <xdr:nvSpPr>
            <xdr:cNvPr id="1036" name="Object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186F-163D-43CA-BFD2-85ACCE2573B3}">
  <sheetPr filterMode="1"/>
  <dimension ref="A1:L343"/>
  <sheetViews>
    <sheetView tabSelected="1" zoomScale="115" zoomScaleNormal="115" workbookViewId="0"/>
  </sheetViews>
  <sheetFormatPr defaultRowHeight="17" customHeight="1" x14ac:dyDescent="0.35"/>
  <cols>
    <col min="1" max="1" width="20.453125" style="7" bestFit="1" customWidth="1"/>
    <col min="2" max="2" width="8.36328125" style="7" bestFit="1" customWidth="1"/>
    <col min="3" max="3" width="145.1796875" style="6" customWidth="1"/>
    <col min="4" max="4" width="43.7265625" style="7" customWidth="1"/>
    <col min="5" max="5" width="18.90625" style="7" bestFit="1" customWidth="1"/>
    <col min="6" max="6" width="13.453125" style="7" bestFit="1" customWidth="1"/>
    <col min="7" max="7" width="3.81640625" style="17" bestFit="1" customWidth="1"/>
    <col min="8" max="9" width="2.81640625" style="17" bestFit="1" customWidth="1"/>
    <col min="10" max="10" width="2.7265625" style="17" bestFit="1" customWidth="1"/>
    <col min="11" max="11" width="2.81640625" style="17" bestFit="1" customWidth="1"/>
    <col min="12" max="12" width="2.7265625" style="17" bestFit="1" customWidth="1"/>
    <col min="13" max="16384" width="8.7265625" style="7"/>
  </cols>
  <sheetData>
    <row r="1" spans="1:12" ht="17" customHeight="1" x14ac:dyDescent="0.35">
      <c r="A1" s="5" t="s">
        <v>0</v>
      </c>
      <c r="B1" s="1">
        <f>COUNTIF(B5:B344,"PASSED")</f>
        <v>311</v>
      </c>
    </row>
    <row r="2" spans="1:12" ht="17" customHeight="1" x14ac:dyDescent="0.35">
      <c r="A2" s="8" t="s">
        <v>1</v>
      </c>
      <c r="B2" s="2">
        <f>COUNTIF(B5:B344,"FAILED")</f>
        <v>26</v>
      </c>
    </row>
    <row r="3" spans="1:12" ht="17" customHeight="1" x14ac:dyDescent="0.35">
      <c r="A3" s="9" t="s">
        <v>2</v>
      </c>
      <c r="B3" s="3">
        <f>COUNTIF(F7:F344,"None")</f>
        <v>11</v>
      </c>
    </row>
    <row r="4" spans="1:12" ht="17" customHeight="1" x14ac:dyDescent="0.35">
      <c r="A4" s="10" t="s">
        <v>3</v>
      </c>
      <c r="B4" s="2">
        <f>B2-B3</f>
        <v>15</v>
      </c>
    </row>
    <row r="5" spans="1:12" ht="17" customHeight="1" x14ac:dyDescent="0.35">
      <c r="A5" s="11"/>
    </row>
    <row r="6" spans="1:12" ht="17" customHeight="1" x14ac:dyDescent="0.35">
      <c r="A6" s="12" t="s">
        <v>4</v>
      </c>
      <c r="B6" s="13" t="s">
        <v>5</v>
      </c>
      <c r="C6" s="14" t="s">
        <v>6</v>
      </c>
      <c r="D6" s="16" t="s">
        <v>344</v>
      </c>
      <c r="E6" s="4" t="s">
        <v>345</v>
      </c>
      <c r="F6" s="4" t="s">
        <v>346</v>
      </c>
      <c r="G6" s="18" t="s">
        <v>347</v>
      </c>
      <c r="H6" s="18" t="s">
        <v>348</v>
      </c>
      <c r="I6" s="18" t="s">
        <v>349</v>
      </c>
      <c r="J6" s="18" t="s">
        <v>350</v>
      </c>
      <c r="K6" s="18" t="s">
        <v>351</v>
      </c>
      <c r="L6" s="18" t="s">
        <v>352</v>
      </c>
    </row>
    <row r="7" spans="1:12" ht="17" hidden="1" customHeight="1" x14ac:dyDescent="0.35">
      <c r="A7" s="7" t="str">
        <f t="shared" ref="A7:A70" si="0">MID(C7,2,FIND(")",C7,1)-5)</f>
        <v xml:space="preserve">1.1 </v>
      </c>
      <c r="B7" t="str">
        <f t="shared" ref="B7:B70" si="1">IF(ISNUMBER(FIND("[PASSED]",C7,1)),"PASSED","FAILED")</f>
        <v>PASSED</v>
      </c>
      <c r="C7" s="15" t="s">
        <v>150</v>
      </c>
      <c r="G7" s="17">
        <v>1</v>
      </c>
      <c r="H7" s="17">
        <v>1</v>
      </c>
    </row>
    <row r="8" spans="1:12" ht="17" hidden="1" customHeight="1" x14ac:dyDescent="0.35">
      <c r="A8" s="7" t="str">
        <f t="shared" si="0"/>
        <v xml:space="preserve">4.1.3.1 </v>
      </c>
      <c r="B8" t="str">
        <f t="shared" si="1"/>
        <v>PASSED</v>
      </c>
      <c r="C8" s="15" t="s">
        <v>7</v>
      </c>
      <c r="G8" s="19">
        <v>4</v>
      </c>
      <c r="H8" s="17">
        <v>1</v>
      </c>
      <c r="I8" s="17">
        <v>3</v>
      </c>
      <c r="J8" s="17">
        <v>1</v>
      </c>
    </row>
    <row r="9" spans="1:12" ht="17" hidden="1" customHeight="1" x14ac:dyDescent="0.35">
      <c r="A9" s="7" t="str">
        <f t="shared" si="0"/>
        <v xml:space="preserve">4.1.3.2 </v>
      </c>
      <c r="B9" t="str">
        <f t="shared" si="1"/>
        <v>PASSED</v>
      </c>
      <c r="C9" s="15" t="s">
        <v>39</v>
      </c>
      <c r="G9" s="19">
        <v>4</v>
      </c>
      <c r="H9" s="17">
        <v>1</v>
      </c>
      <c r="I9" s="17">
        <v>3</v>
      </c>
      <c r="J9" s="17">
        <v>2</v>
      </c>
    </row>
    <row r="10" spans="1:12" ht="17" hidden="1" customHeight="1" x14ac:dyDescent="0.35">
      <c r="A10" s="7" t="str">
        <f t="shared" si="0"/>
        <v xml:space="preserve">4.4.1 </v>
      </c>
      <c r="B10" t="str">
        <f t="shared" si="1"/>
        <v>PASSED</v>
      </c>
      <c r="C10" s="15" t="s">
        <v>122</v>
      </c>
      <c r="G10" s="17">
        <v>4</v>
      </c>
      <c r="H10" s="17">
        <v>4</v>
      </c>
      <c r="I10" s="17">
        <v>1</v>
      </c>
    </row>
    <row r="11" spans="1:12" ht="17" hidden="1" customHeight="1" x14ac:dyDescent="0.35">
      <c r="A11" s="7" t="str">
        <f t="shared" si="0"/>
        <v xml:space="preserve">4.4.2 </v>
      </c>
      <c r="B11" t="str">
        <f t="shared" si="1"/>
        <v>PASSED</v>
      </c>
      <c r="C11" s="15" t="s">
        <v>266</v>
      </c>
      <c r="G11" s="17">
        <v>4</v>
      </c>
      <c r="H11" s="17">
        <v>4</v>
      </c>
      <c r="I11" s="17">
        <v>2</v>
      </c>
    </row>
    <row r="12" spans="1:12" ht="17" hidden="1" customHeight="1" x14ac:dyDescent="0.35">
      <c r="A12" s="7" t="str">
        <f t="shared" si="0"/>
        <v xml:space="preserve">4.4.3 </v>
      </c>
      <c r="B12" t="str">
        <f t="shared" si="1"/>
        <v>PASSED</v>
      </c>
      <c r="C12" s="15" t="s">
        <v>114</v>
      </c>
      <c r="G12" s="19">
        <v>4</v>
      </c>
      <c r="H12" s="17">
        <v>4</v>
      </c>
      <c r="I12" s="17">
        <v>3</v>
      </c>
    </row>
    <row r="13" spans="1:12" ht="17" hidden="1" customHeight="1" x14ac:dyDescent="0.35">
      <c r="A13" s="7" t="str">
        <f t="shared" si="0"/>
        <v xml:space="preserve">4.4.4 </v>
      </c>
      <c r="B13" t="str">
        <f t="shared" si="1"/>
        <v>PASSED</v>
      </c>
      <c r="C13" s="15" t="s">
        <v>158</v>
      </c>
      <c r="G13" s="17">
        <v>4</v>
      </c>
      <c r="H13" s="17">
        <v>4</v>
      </c>
      <c r="I13" s="17">
        <v>4</v>
      </c>
    </row>
    <row r="14" spans="1:12" ht="17" hidden="1" customHeight="1" x14ac:dyDescent="0.35">
      <c r="A14" s="7" t="str">
        <f t="shared" si="0"/>
        <v xml:space="preserve">4.4.5 </v>
      </c>
      <c r="B14" t="str">
        <f t="shared" si="1"/>
        <v>PASSED</v>
      </c>
      <c r="C14" s="15" t="s">
        <v>292</v>
      </c>
      <c r="G14" s="17">
        <v>4</v>
      </c>
      <c r="H14" s="17">
        <v>4</v>
      </c>
      <c r="I14" s="17">
        <v>5</v>
      </c>
    </row>
    <row r="15" spans="1:12" ht="17" hidden="1" customHeight="1" x14ac:dyDescent="0.35">
      <c r="A15" s="7" t="str">
        <f t="shared" si="0"/>
        <v xml:space="preserve">4.5.1 </v>
      </c>
      <c r="B15" t="str">
        <f t="shared" si="1"/>
        <v>PASSED</v>
      </c>
      <c r="C15" s="15" t="s">
        <v>16</v>
      </c>
      <c r="G15" s="19">
        <v>4</v>
      </c>
      <c r="H15" s="17">
        <v>5</v>
      </c>
      <c r="I15" s="17">
        <v>1</v>
      </c>
    </row>
    <row r="16" spans="1:12" ht="17" hidden="1" customHeight="1" x14ac:dyDescent="0.35">
      <c r="A16" s="7" t="str">
        <f t="shared" si="0"/>
        <v xml:space="preserve">4.5.2 </v>
      </c>
      <c r="B16" t="str">
        <f t="shared" si="1"/>
        <v>PASSED</v>
      </c>
      <c r="C16" s="15" t="s">
        <v>175</v>
      </c>
      <c r="G16" s="17">
        <v>4</v>
      </c>
      <c r="H16" s="17">
        <v>5</v>
      </c>
      <c r="I16" s="17">
        <v>2</v>
      </c>
    </row>
    <row r="17" spans="1:10" ht="17" hidden="1" customHeight="1" x14ac:dyDescent="0.35">
      <c r="A17" s="7" t="str">
        <f t="shared" si="0"/>
        <v xml:space="preserve">4.5.3 </v>
      </c>
      <c r="B17" t="str">
        <f t="shared" si="1"/>
        <v>PASSED</v>
      </c>
      <c r="C17" s="15" t="s">
        <v>277</v>
      </c>
      <c r="G17" s="17">
        <v>4</v>
      </c>
      <c r="H17" s="17">
        <v>5</v>
      </c>
      <c r="I17" s="17">
        <v>3</v>
      </c>
    </row>
    <row r="18" spans="1:10" ht="17" hidden="1" customHeight="1" x14ac:dyDescent="0.35">
      <c r="A18" s="7" t="str">
        <f t="shared" si="0"/>
        <v xml:space="preserve">4.5.5 </v>
      </c>
      <c r="B18" t="str">
        <f t="shared" si="1"/>
        <v>PASSED</v>
      </c>
      <c r="C18" s="15" t="s">
        <v>192</v>
      </c>
      <c r="G18" s="17">
        <v>4</v>
      </c>
      <c r="H18" s="17">
        <v>5</v>
      </c>
      <c r="I18" s="17">
        <v>5</v>
      </c>
    </row>
    <row r="19" spans="1:10" ht="17" hidden="1" customHeight="1" x14ac:dyDescent="0.35">
      <c r="A19" s="7" t="str">
        <f t="shared" si="0"/>
        <v xml:space="preserve">4.5.7 </v>
      </c>
      <c r="B19" t="str">
        <f t="shared" si="1"/>
        <v>PASSED</v>
      </c>
      <c r="C19" s="15" t="s">
        <v>121</v>
      </c>
      <c r="G19" s="17">
        <v>4</v>
      </c>
      <c r="H19" s="17">
        <v>5</v>
      </c>
      <c r="I19" s="17">
        <v>7</v>
      </c>
    </row>
    <row r="20" spans="1:10" ht="17" hidden="1" customHeight="1" x14ac:dyDescent="0.35">
      <c r="A20" s="7" t="str">
        <f t="shared" si="0"/>
        <v xml:space="preserve">4.5.9 </v>
      </c>
      <c r="B20" t="str">
        <f t="shared" si="1"/>
        <v>PASSED</v>
      </c>
      <c r="C20" s="15" t="s">
        <v>40</v>
      </c>
      <c r="G20" s="19">
        <v>4</v>
      </c>
      <c r="H20" s="17">
        <v>5</v>
      </c>
      <c r="I20" s="17">
        <v>9</v>
      </c>
    </row>
    <row r="21" spans="1:10" ht="17" hidden="1" customHeight="1" x14ac:dyDescent="0.35">
      <c r="A21" s="7" t="str">
        <f t="shared" si="0"/>
        <v xml:space="preserve">4.5.10 </v>
      </c>
      <c r="B21" t="str">
        <f t="shared" si="1"/>
        <v>PASSED</v>
      </c>
      <c r="C21" s="15" t="s">
        <v>76</v>
      </c>
      <c r="G21" s="19">
        <v>4</v>
      </c>
      <c r="H21" s="17">
        <v>5</v>
      </c>
      <c r="I21" s="17">
        <v>10</v>
      </c>
    </row>
    <row r="22" spans="1:10" ht="17" hidden="1" customHeight="1" x14ac:dyDescent="0.35">
      <c r="A22" s="7" t="str">
        <f t="shared" si="0"/>
        <v xml:space="preserve">4.5.13 </v>
      </c>
      <c r="B22" t="str">
        <f t="shared" si="1"/>
        <v>PASSED</v>
      </c>
      <c r="C22" s="15" t="s">
        <v>200</v>
      </c>
      <c r="G22" s="17">
        <v>4</v>
      </c>
      <c r="H22" s="17">
        <v>5</v>
      </c>
      <c r="I22" s="17">
        <v>13</v>
      </c>
    </row>
    <row r="23" spans="1:10" ht="17" hidden="1" customHeight="1" x14ac:dyDescent="0.35">
      <c r="A23" s="7" t="str">
        <f t="shared" si="0"/>
        <v xml:space="preserve">4.6.4.1 </v>
      </c>
      <c r="B23" t="str">
        <f t="shared" si="1"/>
        <v>PASSED</v>
      </c>
      <c r="C23" s="15" t="s">
        <v>102</v>
      </c>
      <c r="G23" s="19">
        <v>4</v>
      </c>
      <c r="H23" s="17">
        <v>6</v>
      </c>
      <c r="I23" s="17">
        <v>4</v>
      </c>
      <c r="J23" s="17">
        <v>1</v>
      </c>
    </row>
    <row r="24" spans="1:10" ht="17" hidden="1" customHeight="1" x14ac:dyDescent="0.35">
      <c r="A24" s="7" t="str">
        <f t="shared" si="0"/>
        <v xml:space="preserve">4.6.9.1 </v>
      </c>
      <c r="B24" t="str">
        <f t="shared" si="1"/>
        <v>PASSED</v>
      </c>
      <c r="C24" s="15" t="s">
        <v>84</v>
      </c>
      <c r="G24" s="19">
        <v>4</v>
      </c>
      <c r="H24" s="17">
        <v>6</v>
      </c>
      <c r="I24" s="17">
        <v>9</v>
      </c>
      <c r="J24" s="17">
        <v>1</v>
      </c>
    </row>
    <row r="25" spans="1:10" ht="17" hidden="1" customHeight="1" x14ac:dyDescent="0.35">
      <c r="A25" s="7" t="str">
        <f t="shared" si="0"/>
        <v xml:space="preserve">4.6.9.2 </v>
      </c>
      <c r="B25" t="str">
        <f t="shared" si="1"/>
        <v>PASSED</v>
      </c>
      <c r="C25" s="15" t="s">
        <v>223</v>
      </c>
      <c r="G25" s="17">
        <v>4</v>
      </c>
      <c r="H25" s="17">
        <v>6</v>
      </c>
      <c r="I25" s="17">
        <v>9</v>
      </c>
      <c r="J25" s="17">
        <v>2</v>
      </c>
    </row>
    <row r="26" spans="1:10" ht="17" hidden="1" customHeight="1" x14ac:dyDescent="0.35">
      <c r="A26" s="7" t="str">
        <f t="shared" si="0"/>
        <v xml:space="preserve">4.6.9.3 </v>
      </c>
      <c r="B26" t="str">
        <f t="shared" si="1"/>
        <v>PASSED</v>
      </c>
      <c r="C26" s="15" t="s">
        <v>203</v>
      </c>
      <c r="G26" s="17">
        <v>4</v>
      </c>
      <c r="H26" s="17">
        <v>6</v>
      </c>
      <c r="I26" s="17">
        <v>9</v>
      </c>
      <c r="J26" s="17">
        <v>3</v>
      </c>
    </row>
    <row r="27" spans="1:10" ht="30.5" customHeight="1" x14ac:dyDescent="0.35">
      <c r="A27" s="7" t="str">
        <f t="shared" si="0"/>
        <v xml:space="preserve">4.6.11.1 </v>
      </c>
      <c r="B27" t="str">
        <f t="shared" si="1"/>
        <v>FAILED</v>
      </c>
      <c r="C27" s="15" t="s">
        <v>156</v>
      </c>
      <c r="D27" s="7" t="s">
        <v>353</v>
      </c>
      <c r="E27" s="7" t="s">
        <v>355</v>
      </c>
      <c r="F27" s="7" t="s">
        <v>354</v>
      </c>
      <c r="G27" s="17">
        <v>4</v>
      </c>
      <c r="H27" s="17">
        <v>6</v>
      </c>
      <c r="I27" s="17">
        <v>11</v>
      </c>
      <c r="J27" s="17">
        <v>1</v>
      </c>
    </row>
    <row r="28" spans="1:10" ht="17" hidden="1" customHeight="1" x14ac:dyDescent="0.35">
      <c r="A28" s="7" t="str">
        <f t="shared" si="0"/>
        <v xml:space="preserve">4.6.18.1 </v>
      </c>
      <c r="B28" t="str">
        <f t="shared" si="1"/>
        <v>PASSED</v>
      </c>
      <c r="C28" s="15" t="s">
        <v>99</v>
      </c>
      <c r="G28" s="19">
        <v>4</v>
      </c>
      <c r="H28" s="17">
        <v>6</v>
      </c>
      <c r="I28" s="17">
        <v>18</v>
      </c>
      <c r="J28" s="17">
        <v>1</v>
      </c>
    </row>
    <row r="29" spans="1:10" ht="17" hidden="1" customHeight="1" x14ac:dyDescent="0.35">
      <c r="A29" s="7" t="str">
        <f t="shared" si="0"/>
        <v xml:space="preserve">4.6.18.2 </v>
      </c>
      <c r="B29" t="str">
        <f t="shared" si="1"/>
        <v>PASSED</v>
      </c>
      <c r="C29" s="15" t="s">
        <v>249</v>
      </c>
      <c r="G29" s="17">
        <v>4</v>
      </c>
      <c r="H29" s="17">
        <v>6</v>
      </c>
      <c r="I29" s="17">
        <v>18</v>
      </c>
      <c r="J29" s="17">
        <v>2</v>
      </c>
    </row>
    <row r="30" spans="1:10" ht="17" hidden="1" customHeight="1" x14ac:dyDescent="0.35">
      <c r="A30" s="7" t="str">
        <f t="shared" si="0"/>
        <v xml:space="preserve">4.7.1 </v>
      </c>
      <c r="B30" t="str">
        <f t="shared" si="1"/>
        <v>PASSED</v>
      </c>
      <c r="C30" s="15" t="s">
        <v>82</v>
      </c>
      <c r="G30" s="19">
        <v>4</v>
      </c>
      <c r="H30" s="17">
        <v>7</v>
      </c>
      <c r="I30" s="17">
        <v>1</v>
      </c>
    </row>
    <row r="31" spans="1:10" ht="17" hidden="1" customHeight="1" x14ac:dyDescent="0.35">
      <c r="A31" s="7" t="str">
        <f t="shared" si="0"/>
        <v xml:space="preserve">4.7.2 </v>
      </c>
      <c r="B31" t="str">
        <f t="shared" si="1"/>
        <v>PASSED</v>
      </c>
      <c r="C31" s="15" t="s">
        <v>328</v>
      </c>
      <c r="G31" s="17">
        <v>4</v>
      </c>
      <c r="H31" s="17">
        <v>7</v>
      </c>
      <c r="I31" s="17">
        <v>2</v>
      </c>
    </row>
    <row r="32" spans="1:10" ht="1" hidden="1" customHeight="1" x14ac:dyDescent="0.35">
      <c r="A32" s="7" t="str">
        <f t="shared" si="0"/>
        <v xml:space="preserve">4.7.3 </v>
      </c>
      <c r="B32" t="str">
        <f t="shared" si="1"/>
        <v>PASSED</v>
      </c>
      <c r="C32" s="15" t="s">
        <v>256</v>
      </c>
      <c r="G32" s="17">
        <v>4</v>
      </c>
      <c r="H32" s="17">
        <v>7</v>
      </c>
      <c r="I32" s="17">
        <v>3</v>
      </c>
    </row>
    <row r="33" spans="1:10" ht="30.5" customHeight="1" x14ac:dyDescent="0.35">
      <c r="A33" s="7" t="str">
        <f t="shared" si="0"/>
        <v xml:space="preserve">4.7.4 </v>
      </c>
      <c r="B33" t="str">
        <f t="shared" si="1"/>
        <v>FAILED</v>
      </c>
      <c r="C33" s="15" t="s">
        <v>247</v>
      </c>
      <c r="D33" s="7" t="s">
        <v>356</v>
      </c>
      <c r="E33" s="7" t="s">
        <v>355</v>
      </c>
      <c r="F33" s="7" t="s">
        <v>354</v>
      </c>
      <c r="G33" s="17">
        <v>4</v>
      </c>
      <c r="H33" s="17">
        <v>7</v>
      </c>
      <c r="I33" s="17">
        <v>4</v>
      </c>
    </row>
    <row r="34" spans="1:10" ht="17" hidden="1" customHeight="1" x14ac:dyDescent="0.35">
      <c r="A34" s="7" t="str">
        <f t="shared" si="0"/>
        <v xml:space="preserve">4.7.5 </v>
      </c>
      <c r="B34" t="str">
        <f t="shared" si="1"/>
        <v>PASSED</v>
      </c>
      <c r="C34" s="15" t="s">
        <v>313</v>
      </c>
      <c r="G34" s="17">
        <v>4</v>
      </c>
      <c r="H34" s="17">
        <v>7</v>
      </c>
      <c r="I34" s="17">
        <v>5</v>
      </c>
    </row>
    <row r="35" spans="1:10" ht="17" hidden="1" customHeight="1" x14ac:dyDescent="0.35">
      <c r="A35" s="7" t="str">
        <f t="shared" si="0"/>
        <v xml:space="preserve">4.7.6 </v>
      </c>
      <c r="B35" t="str">
        <f t="shared" si="1"/>
        <v>PASSED</v>
      </c>
      <c r="C35" s="15" t="s">
        <v>155</v>
      </c>
      <c r="G35" s="17">
        <v>4</v>
      </c>
      <c r="H35" s="17">
        <v>7</v>
      </c>
      <c r="I35" s="17">
        <v>6</v>
      </c>
    </row>
    <row r="36" spans="1:10" ht="17" hidden="1" customHeight="1" x14ac:dyDescent="0.35">
      <c r="A36" s="7" t="str">
        <f t="shared" si="0"/>
        <v xml:space="preserve">4.7.7 </v>
      </c>
      <c r="B36" t="str">
        <f t="shared" si="1"/>
        <v>PASSED</v>
      </c>
      <c r="C36" s="15" t="s">
        <v>132</v>
      </c>
      <c r="G36" s="17">
        <v>4</v>
      </c>
      <c r="H36" s="17">
        <v>7</v>
      </c>
      <c r="I36" s="17">
        <v>7</v>
      </c>
    </row>
    <row r="37" spans="1:10" ht="17" hidden="1" customHeight="1" x14ac:dyDescent="0.35">
      <c r="A37" s="7" t="str">
        <f t="shared" si="0"/>
        <v xml:space="preserve">4.7.8 </v>
      </c>
      <c r="B37" t="str">
        <f t="shared" si="1"/>
        <v>PASSED</v>
      </c>
      <c r="C37" s="15" t="s">
        <v>268</v>
      </c>
      <c r="G37" s="17">
        <v>4</v>
      </c>
      <c r="H37" s="17">
        <v>7</v>
      </c>
      <c r="I37" s="17">
        <v>8</v>
      </c>
    </row>
    <row r="38" spans="1:10" ht="17" hidden="1" customHeight="1" x14ac:dyDescent="0.35">
      <c r="A38" s="7" t="str">
        <f t="shared" si="0"/>
        <v xml:space="preserve">4.7.9 </v>
      </c>
      <c r="B38" t="str">
        <f t="shared" si="1"/>
        <v>PASSED</v>
      </c>
      <c r="C38" s="15" t="s">
        <v>46</v>
      </c>
      <c r="G38" s="19">
        <v>4</v>
      </c>
      <c r="H38" s="17">
        <v>7</v>
      </c>
      <c r="I38" s="17">
        <v>9</v>
      </c>
    </row>
    <row r="39" spans="1:10" ht="17" hidden="1" customHeight="1" x14ac:dyDescent="0.35">
      <c r="A39" s="7" t="str">
        <f t="shared" si="0"/>
        <v xml:space="preserve">4.7.10 </v>
      </c>
      <c r="B39" t="str">
        <f t="shared" si="1"/>
        <v>PASSED</v>
      </c>
      <c r="C39" s="15" t="s">
        <v>312</v>
      </c>
      <c r="G39" s="17">
        <v>4</v>
      </c>
      <c r="H39" s="17">
        <v>7</v>
      </c>
      <c r="I39" s="17">
        <v>10</v>
      </c>
    </row>
    <row r="40" spans="1:10" ht="17" hidden="1" customHeight="1" x14ac:dyDescent="0.35">
      <c r="A40" s="7" t="str">
        <f t="shared" si="0"/>
        <v xml:space="preserve">4.7.11 </v>
      </c>
      <c r="B40" t="str">
        <f t="shared" si="1"/>
        <v>PASSED</v>
      </c>
      <c r="C40" s="15" t="s">
        <v>342</v>
      </c>
      <c r="G40" s="17">
        <v>4</v>
      </c>
      <c r="H40" s="17">
        <v>7</v>
      </c>
      <c r="I40" s="17">
        <v>11</v>
      </c>
    </row>
    <row r="41" spans="1:10" ht="17" hidden="1" customHeight="1" x14ac:dyDescent="0.35">
      <c r="A41" s="7" t="str">
        <f t="shared" si="0"/>
        <v xml:space="preserve">4.9.1.1 </v>
      </c>
      <c r="B41" t="str">
        <f t="shared" si="1"/>
        <v>PASSED</v>
      </c>
      <c r="C41" s="15" t="s">
        <v>196</v>
      </c>
      <c r="G41" s="17">
        <v>4</v>
      </c>
      <c r="H41" s="17">
        <v>9</v>
      </c>
      <c r="I41" s="17">
        <v>1</v>
      </c>
      <c r="J41" s="17">
        <v>1</v>
      </c>
    </row>
    <row r="42" spans="1:10" ht="17" hidden="1" customHeight="1" x14ac:dyDescent="0.35">
      <c r="A42" s="7" t="str">
        <f t="shared" si="0"/>
        <v xml:space="preserve">4.10.4.1 </v>
      </c>
      <c r="B42" t="str">
        <f t="shared" si="1"/>
        <v>PASSED</v>
      </c>
      <c r="C42" s="15" t="s">
        <v>217</v>
      </c>
      <c r="G42" s="17">
        <v>4</v>
      </c>
      <c r="H42" s="17">
        <v>10</v>
      </c>
      <c r="I42" s="17">
        <v>4</v>
      </c>
      <c r="J42" s="17">
        <v>1</v>
      </c>
    </row>
    <row r="43" spans="1:10" ht="17" hidden="1" customHeight="1" x14ac:dyDescent="0.35">
      <c r="A43" s="7" t="str">
        <f t="shared" si="0"/>
        <v xml:space="preserve">4.10.5.1 </v>
      </c>
      <c r="B43" t="str">
        <f t="shared" si="1"/>
        <v>PASSED</v>
      </c>
      <c r="C43" s="15" t="s">
        <v>17</v>
      </c>
      <c r="G43" s="19">
        <v>4</v>
      </c>
      <c r="H43" s="17">
        <v>10</v>
      </c>
      <c r="I43" s="17">
        <v>5</v>
      </c>
      <c r="J43" s="17">
        <v>1</v>
      </c>
    </row>
    <row r="44" spans="1:10" ht="17" hidden="1" customHeight="1" x14ac:dyDescent="0.35">
      <c r="A44" s="7" t="str">
        <f t="shared" si="0"/>
        <v xml:space="preserve">4.10.5.2 </v>
      </c>
      <c r="B44" t="str">
        <f t="shared" si="1"/>
        <v>PASSED</v>
      </c>
      <c r="C44" s="15" t="s">
        <v>326</v>
      </c>
      <c r="G44" s="17">
        <v>4</v>
      </c>
      <c r="H44" s="17">
        <v>10</v>
      </c>
      <c r="I44" s="17">
        <v>5</v>
      </c>
      <c r="J44" s="17">
        <v>2</v>
      </c>
    </row>
    <row r="45" spans="1:10" ht="17" hidden="1" customHeight="1" x14ac:dyDescent="0.35">
      <c r="A45" s="7" t="str">
        <f t="shared" si="0"/>
        <v xml:space="preserve">4.10.9.2 </v>
      </c>
      <c r="B45" t="str">
        <f t="shared" si="1"/>
        <v>PASSED</v>
      </c>
      <c r="C45" s="15" t="s">
        <v>307</v>
      </c>
      <c r="G45" s="17">
        <v>4</v>
      </c>
      <c r="H45" s="17">
        <v>10</v>
      </c>
      <c r="I45" s="17">
        <v>9</v>
      </c>
      <c r="J45" s="17">
        <v>2</v>
      </c>
    </row>
    <row r="46" spans="1:10" ht="17" hidden="1" customHeight="1" x14ac:dyDescent="0.35">
      <c r="A46" s="7" t="str">
        <f t="shared" si="0"/>
        <v xml:space="preserve">4.10.13.1 </v>
      </c>
      <c r="B46" t="str">
        <f t="shared" si="1"/>
        <v>PASSED</v>
      </c>
      <c r="C46" s="15" t="s">
        <v>271</v>
      </c>
      <c r="G46" s="17">
        <v>4</v>
      </c>
      <c r="H46" s="17">
        <v>10</v>
      </c>
      <c r="I46" s="17">
        <v>13</v>
      </c>
      <c r="J46" s="17">
        <v>1</v>
      </c>
    </row>
    <row r="47" spans="1:10" ht="17" hidden="1" customHeight="1" x14ac:dyDescent="0.35">
      <c r="A47" s="7" t="str">
        <f t="shared" si="0"/>
        <v xml:space="preserve">4.10.19.1 </v>
      </c>
      <c r="B47" t="str">
        <f t="shared" si="1"/>
        <v>PASSED</v>
      </c>
      <c r="C47" s="15" t="s">
        <v>97</v>
      </c>
      <c r="G47" s="19">
        <v>4</v>
      </c>
      <c r="H47" s="17">
        <v>10</v>
      </c>
      <c r="I47" s="17">
        <v>19</v>
      </c>
      <c r="J47" s="17">
        <v>1</v>
      </c>
    </row>
    <row r="48" spans="1:10" ht="17" hidden="1" customHeight="1" x14ac:dyDescent="0.35">
      <c r="A48" s="7" t="str">
        <f t="shared" si="0"/>
        <v xml:space="preserve">4.10.19.2 </v>
      </c>
      <c r="B48" t="str">
        <f t="shared" si="1"/>
        <v>PASSED</v>
      </c>
      <c r="C48" s="15" t="s">
        <v>18</v>
      </c>
      <c r="G48" s="19">
        <v>4</v>
      </c>
      <c r="H48" s="17">
        <v>10</v>
      </c>
      <c r="I48" s="17">
        <v>19</v>
      </c>
      <c r="J48" s="17">
        <v>2</v>
      </c>
    </row>
    <row r="49" spans="1:11" ht="17" hidden="1" customHeight="1" x14ac:dyDescent="0.35">
      <c r="A49" s="7" t="str">
        <f t="shared" si="0"/>
        <v xml:space="preserve">4.10.20.1.2 </v>
      </c>
      <c r="B49" t="str">
        <f t="shared" si="1"/>
        <v>PASSED</v>
      </c>
      <c r="C49" s="15" t="s">
        <v>280</v>
      </c>
      <c r="G49" s="17">
        <v>4</v>
      </c>
      <c r="H49" s="17">
        <v>10</v>
      </c>
      <c r="I49" s="17">
        <v>20</v>
      </c>
      <c r="J49" s="17">
        <v>1</v>
      </c>
      <c r="K49" s="17">
        <v>2</v>
      </c>
    </row>
    <row r="50" spans="1:11" ht="17" hidden="1" customHeight="1" x14ac:dyDescent="0.35">
      <c r="A50" s="7" t="str">
        <f t="shared" si="0"/>
        <v xml:space="preserve">4.10.20.1.5 </v>
      </c>
      <c r="B50" t="str">
        <f t="shared" si="1"/>
        <v>PASSED</v>
      </c>
      <c r="C50" s="15" t="s">
        <v>70</v>
      </c>
      <c r="G50" s="19">
        <v>4</v>
      </c>
      <c r="H50" s="17">
        <v>10</v>
      </c>
      <c r="I50" s="17">
        <v>20</v>
      </c>
      <c r="J50" s="17">
        <v>1</v>
      </c>
      <c r="K50" s="17">
        <v>5</v>
      </c>
    </row>
    <row r="51" spans="1:11" ht="17" hidden="1" customHeight="1" x14ac:dyDescent="0.35">
      <c r="A51" s="7" t="str">
        <f t="shared" si="0"/>
        <v xml:space="preserve">4.10.26.1 </v>
      </c>
      <c r="B51" t="str">
        <f t="shared" si="1"/>
        <v>PASSED</v>
      </c>
      <c r="C51" s="15" t="s">
        <v>133</v>
      </c>
      <c r="G51" s="17">
        <v>4</v>
      </c>
      <c r="H51" s="17">
        <v>10</v>
      </c>
      <c r="I51" s="17">
        <v>26</v>
      </c>
      <c r="J51" s="17">
        <v>1</v>
      </c>
    </row>
    <row r="52" spans="1:11" ht="17" hidden="1" customHeight="1" x14ac:dyDescent="0.35">
      <c r="A52" s="7" t="str">
        <f t="shared" si="0"/>
        <v xml:space="preserve">4.10.26.2 </v>
      </c>
      <c r="B52" t="str">
        <f t="shared" si="1"/>
        <v>PASSED</v>
      </c>
      <c r="C52" s="15" t="s">
        <v>255</v>
      </c>
      <c r="G52" s="17">
        <v>4</v>
      </c>
      <c r="H52" s="17">
        <v>10</v>
      </c>
      <c r="I52" s="17">
        <v>26</v>
      </c>
      <c r="J52" s="17">
        <v>2</v>
      </c>
    </row>
    <row r="53" spans="1:11" ht="17" hidden="1" customHeight="1" x14ac:dyDescent="0.35">
      <c r="A53" s="7" t="str">
        <f t="shared" si="0"/>
        <v xml:space="preserve">4.10.26.3 </v>
      </c>
      <c r="B53" t="str">
        <f t="shared" si="1"/>
        <v>PASSED</v>
      </c>
      <c r="C53" s="15" t="s">
        <v>291</v>
      </c>
      <c r="G53" s="17">
        <v>4</v>
      </c>
      <c r="H53" s="17">
        <v>10</v>
      </c>
      <c r="I53" s="17">
        <v>26</v>
      </c>
      <c r="J53" s="17">
        <v>3</v>
      </c>
    </row>
    <row r="54" spans="1:11" ht="17" hidden="1" customHeight="1" x14ac:dyDescent="0.35">
      <c r="A54" s="7" t="str">
        <f t="shared" si="0"/>
        <v xml:space="preserve">4.10.26.4 </v>
      </c>
      <c r="B54" t="str">
        <f t="shared" si="1"/>
        <v>PASSED</v>
      </c>
      <c r="C54" s="15" t="s">
        <v>111</v>
      </c>
      <c r="G54" s="19">
        <v>4</v>
      </c>
      <c r="H54" s="17">
        <v>10</v>
      </c>
      <c r="I54" s="17">
        <v>26</v>
      </c>
      <c r="J54" s="17">
        <v>4</v>
      </c>
    </row>
    <row r="55" spans="1:11" ht="17" hidden="1" customHeight="1" x14ac:dyDescent="0.35">
      <c r="A55" s="7" t="str">
        <f t="shared" si="0"/>
        <v xml:space="preserve">4.10.26.5 </v>
      </c>
      <c r="B55" t="str">
        <f t="shared" si="1"/>
        <v>PASSED</v>
      </c>
      <c r="C55" s="15" t="s">
        <v>20</v>
      </c>
      <c r="G55" s="19">
        <v>4</v>
      </c>
      <c r="H55" s="17">
        <v>10</v>
      </c>
      <c r="I55" s="17">
        <v>26</v>
      </c>
      <c r="J55" s="17">
        <v>5</v>
      </c>
    </row>
    <row r="56" spans="1:11" ht="17" hidden="1" customHeight="1" x14ac:dyDescent="0.35">
      <c r="A56" s="7" t="str">
        <f t="shared" si="0"/>
        <v xml:space="preserve">4.10.26.6 </v>
      </c>
      <c r="B56" t="str">
        <f t="shared" si="1"/>
        <v>PASSED</v>
      </c>
      <c r="C56" s="15" t="s">
        <v>185</v>
      </c>
      <c r="G56" s="17">
        <v>4</v>
      </c>
      <c r="H56" s="17">
        <v>10</v>
      </c>
      <c r="I56" s="17">
        <v>26</v>
      </c>
      <c r="J56" s="17">
        <v>6</v>
      </c>
    </row>
    <row r="57" spans="1:11" ht="17" hidden="1" customHeight="1" x14ac:dyDescent="0.35">
      <c r="A57" s="7" t="str">
        <f t="shared" si="0"/>
        <v xml:space="preserve">4.10.26.7 </v>
      </c>
      <c r="B57" t="str">
        <f t="shared" si="1"/>
        <v>PASSED</v>
      </c>
      <c r="C57" s="15" t="s">
        <v>341</v>
      </c>
      <c r="G57" s="17">
        <v>4</v>
      </c>
      <c r="H57" s="17">
        <v>10</v>
      </c>
      <c r="I57" s="17">
        <v>26</v>
      </c>
      <c r="J57" s="17">
        <v>7</v>
      </c>
    </row>
    <row r="58" spans="1:11" ht="17" hidden="1" customHeight="1" x14ac:dyDescent="0.35">
      <c r="A58" s="7" t="str">
        <f t="shared" si="0"/>
        <v xml:space="preserve">4.10.29.5.1 </v>
      </c>
      <c r="B58" t="str">
        <f t="shared" si="1"/>
        <v>PASSED</v>
      </c>
      <c r="C58" s="15" t="s">
        <v>166</v>
      </c>
      <c r="G58" s="17">
        <v>4</v>
      </c>
      <c r="H58" s="17">
        <v>10</v>
      </c>
      <c r="I58" s="17">
        <v>29</v>
      </c>
      <c r="J58" s="17">
        <v>5</v>
      </c>
      <c r="K58" s="17">
        <v>1</v>
      </c>
    </row>
    <row r="59" spans="1:11" ht="17" hidden="1" customHeight="1" x14ac:dyDescent="0.35">
      <c r="A59" s="7" t="str">
        <f t="shared" si="0"/>
        <v xml:space="preserve">4.10.29.5.2 </v>
      </c>
      <c r="B59" t="str">
        <f t="shared" si="1"/>
        <v>PASSED</v>
      </c>
      <c r="C59" s="15" t="s">
        <v>110</v>
      </c>
      <c r="G59" s="19">
        <v>4</v>
      </c>
      <c r="H59" s="17">
        <v>10</v>
      </c>
      <c r="I59" s="17">
        <v>29</v>
      </c>
      <c r="J59" s="17">
        <v>5</v>
      </c>
      <c r="K59" s="17">
        <v>2</v>
      </c>
    </row>
    <row r="60" spans="1:11" ht="17" hidden="1" customHeight="1" x14ac:dyDescent="0.35">
      <c r="A60" s="7" t="str">
        <f t="shared" si="0"/>
        <v xml:space="preserve">4.10.30.1 </v>
      </c>
      <c r="B60" t="str">
        <f t="shared" si="1"/>
        <v>PASSED</v>
      </c>
      <c r="C60" s="15" t="s">
        <v>315</v>
      </c>
      <c r="G60" s="17">
        <v>4</v>
      </c>
      <c r="H60" s="17">
        <v>10</v>
      </c>
      <c r="I60" s="17">
        <v>30</v>
      </c>
      <c r="J60" s="17">
        <v>1</v>
      </c>
    </row>
    <row r="61" spans="1:11" ht="17" hidden="1" customHeight="1" x14ac:dyDescent="0.35">
      <c r="A61" s="7" t="str">
        <f t="shared" si="0"/>
        <v xml:space="preserve">4.10.30.2 </v>
      </c>
      <c r="B61" t="str">
        <f t="shared" si="1"/>
        <v>PASSED</v>
      </c>
      <c r="C61" s="15" t="s">
        <v>331</v>
      </c>
      <c r="G61" s="17">
        <v>4</v>
      </c>
      <c r="H61" s="17">
        <v>10</v>
      </c>
      <c r="I61" s="17">
        <v>30</v>
      </c>
      <c r="J61" s="17">
        <v>2</v>
      </c>
    </row>
    <row r="62" spans="1:11" ht="17" hidden="1" customHeight="1" x14ac:dyDescent="0.35">
      <c r="A62" s="7" t="str">
        <f t="shared" si="0"/>
        <v xml:space="preserve">4.10.31.1 </v>
      </c>
      <c r="B62" t="str">
        <f t="shared" si="1"/>
        <v>PASSED</v>
      </c>
      <c r="C62" s="15" t="s">
        <v>109</v>
      </c>
      <c r="G62" s="19">
        <v>4</v>
      </c>
      <c r="H62" s="17">
        <v>10</v>
      </c>
      <c r="I62" s="17">
        <v>31</v>
      </c>
      <c r="J62" s="17">
        <v>1</v>
      </c>
    </row>
    <row r="63" spans="1:11" ht="17" hidden="1" customHeight="1" x14ac:dyDescent="0.35">
      <c r="A63" s="7" t="str">
        <f t="shared" si="0"/>
        <v xml:space="preserve">4.10.31.2 </v>
      </c>
      <c r="B63" t="str">
        <f t="shared" si="1"/>
        <v>PASSED</v>
      </c>
      <c r="C63" s="15" t="s">
        <v>295</v>
      </c>
      <c r="G63" s="17">
        <v>4</v>
      </c>
      <c r="H63" s="17">
        <v>10</v>
      </c>
      <c r="I63" s="17">
        <v>31</v>
      </c>
      <c r="J63" s="17">
        <v>2</v>
      </c>
    </row>
    <row r="64" spans="1:11" ht="17" hidden="1" customHeight="1" x14ac:dyDescent="0.35">
      <c r="A64" s="7" t="str">
        <f t="shared" si="0"/>
        <v xml:space="preserve">4.10.44.1.1 </v>
      </c>
      <c r="B64" t="str">
        <f t="shared" si="1"/>
        <v>PASSED</v>
      </c>
      <c r="C64" s="15" t="s">
        <v>207</v>
      </c>
      <c r="G64" s="17">
        <v>4</v>
      </c>
      <c r="H64" s="17">
        <v>10</v>
      </c>
      <c r="I64" s="17">
        <v>44</v>
      </c>
      <c r="J64" s="17">
        <v>1</v>
      </c>
      <c r="K64" s="17">
        <v>1</v>
      </c>
    </row>
    <row r="65" spans="1:11" ht="17" hidden="1" customHeight="1" x14ac:dyDescent="0.35">
      <c r="A65" s="7" t="str">
        <f t="shared" si="0"/>
        <v xml:space="preserve">4.10.44.1.2 </v>
      </c>
      <c r="B65" t="str">
        <f t="shared" si="1"/>
        <v>PASSED</v>
      </c>
      <c r="C65" s="15" t="s">
        <v>172</v>
      </c>
      <c r="G65" s="17">
        <v>4</v>
      </c>
      <c r="H65" s="17">
        <v>10</v>
      </c>
      <c r="I65" s="17">
        <v>44</v>
      </c>
      <c r="J65" s="17">
        <v>1</v>
      </c>
      <c r="K65" s="17">
        <v>2</v>
      </c>
    </row>
    <row r="66" spans="1:11" ht="17" hidden="1" customHeight="1" x14ac:dyDescent="0.35">
      <c r="A66" s="7" t="str">
        <f t="shared" si="0"/>
        <v xml:space="preserve">4.11.3.1 </v>
      </c>
      <c r="B66" t="str">
        <f t="shared" si="1"/>
        <v>PASSED</v>
      </c>
      <c r="C66" s="15" t="s">
        <v>22</v>
      </c>
      <c r="G66" s="19">
        <v>4</v>
      </c>
      <c r="H66" s="17">
        <v>11</v>
      </c>
      <c r="I66" s="17">
        <v>3</v>
      </c>
      <c r="J66" s="17">
        <v>1</v>
      </c>
    </row>
    <row r="67" spans="1:11" ht="17" hidden="1" customHeight="1" x14ac:dyDescent="0.35">
      <c r="A67" s="7" t="str">
        <f t="shared" si="0"/>
        <v xml:space="preserve">4.11.5.1 </v>
      </c>
      <c r="B67" t="str">
        <f t="shared" si="1"/>
        <v>PASSED</v>
      </c>
      <c r="C67" s="15" t="s">
        <v>85</v>
      </c>
      <c r="G67" s="19">
        <v>4</v>
      </c>
      <c r="H67" s="17">
        <v>11</v>
      </c>
      <c r="I67" s="17">
        <v>5</v>
      </c>
      <c r="J67" s="17">
        <v>1</v>
      </c>
    </row>
    <row r="68" spans="1:11" ht="17" hidden="1" customHeight="1" x14ac:dyDescent="0.35">
      <c r="A68" s="7" t="str">
        <f t="shared" si="0"/>
        <v xml:space="preserve">4.11.5.2 </v>
      </c>
      <c r="B68" t="str">
        <f t="shared" si="1"/>
        <v>PASSED</v>
      </c>
      <c r="C68" s="15" t="s">
        <v>250</v>
      </c>
      <c r="G68" s="17">
        <v>4</v>
      </c>
      <c r="H68" s="17">
        <v>11</v>
      </c>
      <c r="I68" s="17">
        <v>5</v>
      </c>
      <c r="J68" s="17">
        <v>2</v>
      </c>
    </row>
    <row r="69" spans="1:11" ht="17" hidden="1" customHeight="1" x14ac:dyDescent="0.35">
      <c r="A69" s="7" t="str">
        <f t="shared" si="0"/>
        <v xml:space="preserve">4.11.6.1 </v>
      </c>
      <c r="B69" t="str">
        <f t="shared" si="1"/>
        <v>PASSED</v>
      </c>
      <c r="C69" s="15" t="s">
        <v>130</v>
      </c>
      <c r="G69" s="17">
        <v>4</v>
      </c>
      <c r="H69" s="17">
        <v>11</v>
      </c>
      <c r="I69" s="17">
        <v>6</v>
      </c>
      <c r="J69" s="17">
        <v>1</v>
      </c>
    </row>
    <row r="70" spans="1:11" ht="17" hidden="1" customHeight="1" x14ac:dyDescent="0.35">
      <c r="A70" s="7" t="str">
        <f t="shared" si="0"/>
        <v xml:space="preserve">4.11.6.2 </v>
      </c>
      <c r="B70" t="str">
        <f t="shared" si="1"/>
        <v>PASSED</v>
      </c>
      <c r="C70" s="15" t="s">
        <v>182</v>
      </c>
      <c r="G70" s="17">
        <v>4</v>
      </c>
      <c r="H70" s="17">
        <v>11</v>
      </c>
      <c r="I70" s="17">
        <v>6</v>
      </c>
      <c r="J70" s="17">
        <v>2</v>
      </c>
    </row>
    <row r="71" spans="1:11" ht="17" hidden="1" customHeight="1" x14ac:dyDescent="0.35">
      <c r="A71" s="7" t="str">
        <f t="shared" ref="A71:A134" si="2">MID(C71,2,FIND(")",C71,1)-5)</f>
        <v xml:space="preserve">4.11.6.3 </v>
      </c>
      <c r="B71" t="str">
        <f t="shared" ref="B71:B134" si="3">IF(ISNUMBER(FIND("[PASSED]",C71,1)),"PASSED","FAILED")</f>
        <v>PASSED</v>
      </c>
      <c r="C71" s="15" t="s">
        <v>333</v>
      </c>
      <c r="G71" s="17">
        <v>4</v>
      </c>
      <c r="H71" s="17">
        <v>11</v>
      </c>
      <c r="I71" s="17">
        <v>6</v>
      </c>
      <c r="J71" s="17">
        <v>3</v>
      </c>
    </row>
    <row r="72" spans="1:11" ht="17" hidden="1" customHeight="1" x14ac:dyDescent="0.35">
      <c r="A72" s="7" t="str">
        <f t="shared" si="2"/>
        <v xml:space="preserve">4.11.8.1 </v>
      </c>
      <c r="B72" t="str">
        <f t="shared" si="3"/>
        <v>PASSED</v>
      </c>
      <c r="C72" s="15" t="s">
        <v>27</v>
      </c>
      <c r="G72" s="19">
        <v>4</v>
      </c>
      <c r="H72" s="17">
        <v>11</v>
      </c>
      <c r="I72" s="17">
        <v>8</v>
      </c>
      <c r="J72" s="17">
        <v>1</v>
      </c>
    </row>
    <row r="73" spans="1:11" ht="17" hidden="1" customHeight="1" x14ac:dyDescent="0.35">
      <c r="A73" s="7" t="str">
        <f t="shared" si="2"/>
        <v xml:space="preserve">4.11.8.2 </v>
      </c>
      <c r="B73" t="str">
        <f t="shared" si="3"/>
        <v>PASSED</v>
      </c>
      <c r="C73" s="15" t="s">
        <v>231</v>
      </c>
      <c r="G73" s="17">
        <v>4</v>
      </c>
      <c r="H73" s="17">
        <v>11</v>
      </c>
      <c r="I73" s="17">
        <v>8</v>
      </c>
      <c r="J73" s="17">
        <v>2</v>
      </c>
    </row>
    <row r="74" spans="1:11" ht="17" hidden="1" customHeight="1" x14ac:dyDescent="0.35">
      <c r="A74" s="7" t="str">
        <f t="shared" si="2"/>
        <v xml:space="preserve">4.11.8.3 </v>
      </c>
      <c r="B74" t="str">
        <f t="shared" si="3"/>
        <v>PASSED</v>
      </c>
      <c r="C74" s="15" t="s">
        <v>161</v>
      </c>
      <c r="G74" s="17">
        <v>4</v>
      </c>
      <c r="H74" s="17">
        <v>11</v>
      </c>
      <c r="I74" s="17">
        <v>8</v>
      </c>
      <c r="J74" s="17">
        <v>3</v>
      </c>
    </row>
    <row r="75" spans="1:11" ht="17" hidden="1" customHeight="1" x14ac:dyDescent="0.35">
      <c r="A75" s="7" t="str">
        <f t="shared" si="2"/>
        <v xml:space="preserve">4.11.10.1 </v>
      </c>
      <c r="B75" t="str">
        <f t="shared" si="3"/>
        <v>PASSED</v>
      </c>
      <c r="C75" s="15" t="s">
        <v>242</v>
      </c>
      <c r="G75" s="17">
        <v>4</v>
      </c>
      <c r="H75" s="17">
        <v>11</v>
      </c>
      <c r="I75" s="17">
        <v>10</v>
      </c>
      <c r="J75" s="17">
        <v>1</v>
      </c>
    </row>
    <row r="76" spans="1:11" ht="17" hidden="1" customHeight="1" x14ac:dyDescent="0.35">
      <c r="A76" s="7" t="str">
        <f t="shared" si="2"/>
        <v xml:space="preserve">4.11.10.2 </v>
      </c>
      <c r="B76" t="str">
        <f t="shared" si="3"/>
        <v>PASSED</v>
      </c>
      <c r="C76" s="15" t="s">
        <v>116</v>
      </c>
      <c r="G76" s="17">
        <v>4</v>
      </c>
      <c r="H76" s="17">
        <v>11</v>
      </c>
      <c r="I76" s="17">
        <v>10</v>
      </c>
      <c r="J76" s="17">
        <v>2</v>
      </c>
    </row>
    <row r="77" spans="1:11" ht="17" hidden="1" customHeight="1" x14ac:dyDescent="0.35">
      <c r="A77" s="7" t="str">
        <f t="shared" si="2"/>
        <v xml:space="preserve">4.11.10.3 </v>
      </c>
      <c r="B77" t="str">
        <f t="shared" si="3"/>
        <v>PASSED</v>
      </c>
      <c r="C77" s="15" t="s">
        <v>37</v>
      </c>
      <c r="G77" s="19">
        <v>4</v>
      </c>
      <c r="H77" s="17">
        <v>11</v>
      </c>
      <c r="I77" s="17">
        <v>10</v>
      </c>
      <c r="J77" s="17">
        <v>3</v>
      </c>
    </row>
    <row r="78" spans="1:11" ht="17" hidden="1" customHeight="1" x14ac:dyDescent="0.35">
      <c r="A78" s="7" t="str">
        <f t="shared" si="2"/>
        <v xml:space="preserve">4.11.15.1.1 </v>
      </c>
      <c r="B78" t="str">
        <f t="shared" si="3"/>
        <v>PASSED</v>
      </c>
      <c r="C78" s="15" t="s">
        <v>149</v>
      </c>
      <c r="G78" s="17">
        <v>4</v>
      </c>
      <c r="H78" s="17">
        <v>11</v>
      </c>
      <c r="I78" s="17">
        <v>15</v>
      </c>
      <c r="J78" s="17">
        <v>1</v>
      </c>
      <c r="K78" s="17">
        <v>1</v>
      </c>
    </row>
    <row r="79" spans="1:11" ht="17" hidden="1" customHeight="1" x14ac:dyDescent="0.35">
      <c r="A79" s="7" t="str">
        <f t="shared" si="2"/>
        <v xml:space="preserve">4.11.15.1.2 </v>
      </c>
      <c r="B79" t="str">
        <f t="shared" si="3"/>
        <v>PASSED</v>
      </c>
      <c r="C79" s="15" t="s">
        <v>270</v>
      </c>
      <c r="G79" s="17">
        <v>4</v>
      </c>
      <c r="H79" s="17">
        <v>11</v>
      </c>
      <c r="I79" s="17">
        <v>15</v>
      </c>
      <c r="J79" s="17">
        <v>1</v>
      </c>
      <c r="K79" s="17">
        <v>2</v>
      </c>
    </row>
    <row r="80" spans="1:11" ht="17" hidden="1" customHeight="1" x14ac:dyDescent="0.35">
      <c r="A80" s="7" t="str">
        <f t="shared" si="2"/>
        <v xml:space="preserve">4.11.15.2.1 </v>
      </c>
      <c r="B80" t="str">
        <f t="shared" si="3"/>
        <v>PASSED</v>
      </c>
      <c r="C80" s="15" t="s">
        <v>162</v>
      </c>
      <c r="G80" s="17">
        <v>4</v>
      </c>
      <c r="H80" s="17">
        <v>11</v>
      </c>
      <c r="I80" s="17">
        <v>15</v>
      </c>
      <c r="J80" s="17">
        <v>2</v>
      </c>
      <c r="K80" s="17">
        <v>1</v>
      </c>
    </row>
    <row r="81" spans="1:12" ht="17" hidden="1" customHeight="1" x14ac:dyDescent="0.35">
      <c r="A81" s="7" t="str">
        <f t="shared" si="2"/>
        <v xml:space="preserve">4.11.15.2.2 </v>
      </c>
      <c r="B81" t="str">
        <f t="shared" si="3"/>
        <v>PASSED</v>
      </c>
      <c r="C81" s="15" t="s">
        <v>142</v>
      </c>
      <c r="G81" s="17">
        <v>4</v>
      </c>
      <c r="H81" s="17">
        <v>11</v>
      </c>
      <c r="I81" s="17">
        <v>15</v>
      </c>
      <c r="J81" s="17">
        <v>2</v>
      </c>
      <c r="K81" s="17">
        <v>2</v>
      </c>
    </row>
    <row r="82" spans="1:12" ht="17" hidden="1" customHeight="1" x14ac:dyDescent="0.35">
      <c r="A82" s="7" t="str">
        <f t="shared" si="2"/>
        <v xml:space="preserve">4.11.15.3.1 </v>
      </c>
      <c r="B82" t="str">
        <f t="shared" si="3"/>
        <v>PASSED</v>
      </c>
      <c r="C82" s="15" t="s">
        <v>14</v>
      </c>
      <c r="G82" s="19">
        <v>4</v>
      </c>
      <c r="H82" s="17">
        <v>11</v>
      </c>
      <c r="I82" s="17">
        <v>15</v>
      </c>
      <c r="J82" s="17">
        <v>3</v>
      </c>
      <c r="K82" s="17">
        <v>1</v>
      </c>
    </row>
    <row r="83" spans="1:12" ht="17" hidden="1" customHeight="1" x14ac:dyDescent="0.35">
      <c r="A83" s="7" t="str">
        <f t="shared" si="2"/>
        <v xml:space="preserve">4.11.15.3.2 </v>
      </c>
      <c r="B83" t="str">
        <f t="shared" si="3"/>
        <v>PASSED</v>
      </c>
      <c r="C83" s="15" t="s">
        <v>193</v>
      </c>
      <c r="G83" s="17">
        <v>4</v>
      </c>
      <c r="H83" s="17">
        <v>11</v>
      </c>
      <c r="I83" s="17">
        <v>15</v>
      </c>
      <c r="J83" s="17">
        <v>3</v>
      </c>
      <c r="K83" s="17">
        <v>2</v>
      </c>
    </row>
    <row r="84" spans="1:12" ht="17" hidden="1" customHeight="1" x14ac:dyDescent="0.35">
      <c r="A84" s="7" t="str">
        <f t="shared" si="2"/>
        <v xml:space="preserve">4.11.15.4.1 </v>
      </c>
      <c r="B84" t="str">
        <f t="shared" si="3"/>
        <v>PASSED</v>
      </c>
      <c r="C84" s="15" t="s">
        <v>335</v>
      </c>
      <c r="G84" s="17">
        <v>4</v>
      </c>
      <c r="H84" s="17">
        <v>11</v>
      </c>
      <c r="I84" s="17">
        <v>15</v>
      </c>
      <c r="J84" s="17">
        <v>4</v>
      </c>
      <c r="K84" s="17">
        <v>1</v>
      </c>
    </row>
    <row r="85" spans="1:12" ht="17" hidden="1" customHeight="1" x14ac:dyDescent="0.35">
      <c r="A85" s="7" t="str">
        <f t="shared" si="2"/>
        <v xml:space="preserve">4.11.15.4.2 </v>
      </c>
      <c r="B85" t="str">
        <f t="shared" si="3"/>
        <v>PASSED</v>
      </c>
      <c r="C85" s="15" t="s">
        <v>105</v>
      </c>
      <c r="G85" s="19">
        <v>4</v>
      </c>
      <c r="H85" s="17">
        <v>11</v>
      </c>
      <c r="I85" s="17">
        <v>15</v>
      </c>
      <c r="J85" s="17">
        <v>4</v>
      </c>
      <c r="K85" s="17">
        <v>2</v>
      </c>
    </row>
    <row r="86" spans="1:12" ht="30.5" customHeight="1" x14ac:dyDescent="0.35">
      <c r="A86" s="7" t="str">
        <f t="shared" si="2"/>
        <v xml:space="preserve">4.11.18.1 </v>
      </c>
      <c r="B86" t="str">
        <f t="shared" si="3"/>
        <v>FAILED</v>
      </c>
      <c r="C86" s="15" t="s">
        <v>29</v>
      </c>
      <c r="D86" s="7" t="s">
        <v>357</v>
      </c>
      <c r="E86" s="7" t="s">
        <v>355</v>
      </c>
      <c r="F86" s="7" t="s">
        <v>354</v>
      </c>
      <c r="G86" s="19">
        <v>4</v>
      </c>
      <c r="H86" s="17">
        <v>11</v>
      </c>
      <c r="I86" s="17">
        <v>18</v>
      </c>
      <c r="J86" s="17">
        <v>1</v>
      </c>
    </row>
    <row r="87" spans="1:12" ht="17" hidden="1" customHeight="1" x14ac:dyDescent="0.35">
      <c r="A87" s="7" t="str">
        <f t="shared" si="2"/>
        <v xml:space="preserve">4.11.18.2 </v>
      </c>
      <c r="B87" t="str">
        <f t="shared" si="3"/>
        <v>PASSED</v>
      </c>
      <c r="C87" s="15" t="s">
        <v>321</v>
      </c>
      <c r="G87" s="17">
        <v>4</v>
      </c>
      <c r="H87" s="17">
        <v>11</v>
      </c>
      <c r="I87" s="17">
        <v>18</v>
      </c>
      <c r="J87" s="17">
        <v>2</v>
      </c>
    </row>
    <row r="88" spans="1:12" ht="17" hidden="1" customHeight="1" x14ac:dyDescent="0.35">
      <c r="A88" s="7" t="str">
        <f t="shared" si="2"/>
        <v xml:space="preserve">4.11.18.3 </v>
      </c>
      <c r="B88" t="str">
        <f t="shared" si="3"/>
        <v>PASSED</v>
      </c>
      <c r="C88" s="15" t="s">
        <v>214</v>
      </c>
      <c r="G88" s="17">
        <v>4</v>
      </c>
      <c r="H88" s="17">
        <v>11</v>
      </c>
      <c r="I88" s="17">
        <v>18</v>
      </c>
      <c r="J88" s="17">
        <v>3</v>
      </c>
    </row>
    <row r="89" spans="1:12" ht="17" hidden="1" customHeight="1" x14ac:dyDescent="0.35">
      <c r="A89" s="7" t="str">
        <f t="shared" si="2"/>
        <v xml:space="preserve">4.11.18.4 </v>
      </c>
      <c r="B89" t="str">
        <f t="shared" si="3"/>
        <v>PASSED</v>
      </c>
      <c r="C89" s="15" t="s">
        <v>319</v>
      </c>
      <c r="G89" s="17">
        <v>4</v>
      </c>
      <c r="H89" s="17">
        <v>11</v>
      </c>
      <c r="I89" s="17">
        <v>18</v>
      </c>
      <c r="J89" s="17">
        <v>4</v>
      </c>
    </row>
    <row r="90" spans="1:12" ht="17" hidden="1" customHeight="1" x14ac:dyDescent="0.35">
      <c r="A90" s="7" t="str">
        <f t="shared" si="2"/>
        <v xml:space="preserve">4.11.27.1 </v>
      </c>
      <c r="B90" t="str">
        <f t="shared" si="3"/>
        <v>PASSED</v>
      </c>
      <c r="C90" s="15" t="s">
        <v>167</v>
      </c>
      <c r="G90" s="17">
        <v>4</v>
      </c>
      <c r="H90" s="17">
        <v>11</v>
      </c>
      <c r="I90" s="17">
        <v>27</v>
      </c>
      <c r="J90" s="17">
        <v>1</v>
      </c>
    </row>
    <row r="91" spans="1:12" ht="17" hidden="1" customHeight="1" x14ac:dyDescent="0.35">
      <c r="A91" s="7" t="str">
        <f t="shared" si="2"/>
        <v xml:space="preserve">4.11.28.3.1 </v>
      </c>
      <c r="B91" t="str">
        <f t="shared" si="3"/>
        <v>PASSED</v>
      </c>
      <c r="C91" s="15" t="s">
        <v>160</v>
      </c>
      <c r="G91" s="17">
        <v>4</v>
      </c>
      <c r="H91" s="17">
        <v>11</v>
      </c>
      <c r="I91" s="17">
        <v>28</v>
      </c>
      <c r="J91" s="17">
        <v>3</v>
      </c>
      <c r="K91" s="17">
        <v>1</v>
      </c>
    </row>
    <row r="92" spans="1:12" ht="17" hidden="1" customHeight="1" x14ac:dyDescent="0.35">
      <c r="A92" s="7" t="str">
        <f t="shared" si="2"/>
        <v xml:space="preserve">4.11.31.1 </v>
      </c>
      <c r="B92" t="str">
        <f t="shared" si="3"/>
        <v>PASSED</v>
      </c>
      <c r="C92" s="15" t="s">
        <v>199</v>
      </c>
      <c r="G92" s="17">
        <v>4</v>
      </c>
      <c r="H92" s="17">
        <v>11</v>
      </c>
      <c r="I92" s="17">
        <v>31</v>
      </c>
      <c r="J92" s="17">
        <v>1</v>
      </c>
    </row>
    <row r="93" spans="1:12" ht="17" hidden="1" customHeight="1" x14ac:dyDescent="0.35">
      <c r="A93" s="7" t="str">
        <f t="shared" si="2"/>
        <v xml:space="preserve">4.11.36.3.2 </v>
      </c>
      <c r="B93" t="str">
        <f t="shared" si="3"/>
        <v>PASSED</v>
      </c>
      <c r="C93" s="15" t="s">
        <v>194</v>
      </c>
      <c r="G93" s="17">
        <v>4</v>
      </c>
      <c r="H93" s="17">
        <v>11</v>
      </c>
      <c r="I93" s="17">
        <v>36</v>
      </c>
      <c r="J93" s="17">
        <v>3</v>
      </c>
      <c r="K93" s="17">
        <v>2</v>
      </c>
    </row>
    <row r="94" spans="1:12" ht="17" hidden="1" customHeight="1" x14ac:dyDescent="0.35">
      <c r="A94" s="7" t="str">
        <f t="shared" si="2"/>
        <v xml:space="preserve">4.11.36.4.3.2 </v>
      </c>
      <c r="B94" t="str">
        <f t="shared" si="3"/>
        <v>PASSED</v>
      </c>
      <c r="C94" s="15" t="s">
        <v>15</v>
      </c>
      <c r="G94" s="19">
        <v>4</v>
      </c>
      <c r="H94" s="17">
        <v>11</v>
      </c>
      <c r="I94" s="17">
        <v>36</v>
      </c>
      <c r="J94" s="17">
        <v>4</v>
      </c>
      <c r="K94" s="17">
        <v>3</v>
      </c>
      <c r="L94" s="17">
        <v>2</v>
      </c>
    </row>
    <row r="95" spans="1:12" ht="17" hidden="1" customHeight="1" x14ac:dyDescent="0.35">
      <c r="A95" s="7" t="str">
        <f t="shared" si="2"/>
        <v xml:space="preserve">4.11.36.4.9.1 </v>
      </c>
      <c r="B95" t="str">
        <f t="shared" si="3"/>
        <v>PASSED</v>
      </c>
      <c r="C95" s="15" t="s">
        <v>53</v>
      </c>
      <c r="G95" s="19">
        <v>4</v>
      </c>
      <c r="H95" s="17">
        <v>11</v>
      </c>
      <c r="I95" s="17">
        <v>36</v>
      </c>
      <c r="J95" s="17">
        <v>4</v>
      </c>
      <c r="K95" s="17">
        <v>9</v>
      </c>
      <c r="L95" s="17">
        <v>1</v>
      </c>
    </row>
    <row r="96" spans="1:12" ht="17" hidden="1" customHeight="1" x14ac:dyDescent="0.35">
      <c r="A96" s="7" t="str">
        <f t="shared" si="2"/>
        <v xml:space="preserve">4.11.36.4.9.2 </v>
      </c>
      <c r="B96" t="str">
        <f t="shared" si="3"/>
        <v>PASSED</v>
      </c>
      <c r="C96" s="15" t="s">
        <v>260</v>
      </c>
      <c r="G96" s="17">
        <v>4</v>
      </c>
      <c r="H96" s="17">
        <v>11</v>
      </c>
      <c r="I96" s="17">
        <v>36</v>
      </c>
      <c r="J96" s="17">
        <v>4</v>
      </c>
      <c r="K96" s="17">
        <v>9</v>
      </c>
      <c r="L96" s="17">
        <v>2</v>
      </c>
    </row>
    <row r="97" spans="1:12" ht="17" hidden="1" customHeight="1" x14ac:dyDescent="0.35">
      <c r="A97" s="7" t="str">
        <f t="shared" si="2"/>
        <v xml:space="preserve">4.11.36.4.9.3 </v>
      </c>
      <c r="B97" t="str">
        <f t="shared" si="3"/>
        <v>PASSED</v>
      </c>
      <c r="C97" s="15" t="s">
        <v>118</v>
      </c>
      <c r="G97" s="17">
        <v>4</v>
      </c>
      <c r="H97" s="17">
        <v>11</v>
      </c>
      <c r="I97" s="17">
        <v>36</v>
      </c>
      <c r="J97" s="17">
        <v>4</v>
      </c>
      <c r="K97" s="17">
        <v>9</v>
      </c>
      <c r="L97" s="17">
        <v>3</v>
      </c>
    </row>
    <row r="98" spans="1:12" ht="30.5" customHeight="1" x14ac:dyDescent="0.35">
      <c r="A98" s="7" t="str">
        <f t="shared" si="2"/>
        <v xml:space="preserve">4.11.36.4.9.4 </v>
      </c>
      <c r="B98" t="str">
        <f t="shared" si="3"/>
        <v>FAILED</v>
      </c>
      <c r="C98" s="15" t="s">
        <v>168</v>
      </c>
      <c r="D98" s="7" t="s">
        <v>358</v>
      </c>
      <c r="E98" s="7" t="s">
        <v>355</v>
      </c>
      <c r="F98" s="7" t="s">
        <v>354</v>
      </c>
      <c r="G98" s="17">
        <v>4</v>
      </c>
      <c r="H98" s="17">
        <v>11</v>
      </c>
      <c r="I98" s="17">
        <v>36</v>
      </c>
      <c r="J98" s="17">
        <v>4</v>
      </c>
      <c r="K98" s="17">
        <v>9</v>
      </c>
      <c r="L98" s="17">
        <v>4</v>
      </c>
    </row>
    <row r="99" spans="1:12" ht="17" hidden="1" customHeight="1" x14ac:dyDescent="0.35">
      <c r="A99" s="7" t="str">
        <f t="shared" si="2"/>
        <v xml:space="preserve">4.11.36.4.9.5 </v>
      </c>
      <c r="B99" t="str">
        <f t="shared" si="3"/>
        <v>PASSED</v>
      </c>
      <c r="C99" s="15" t="s">
        <v>79</v>
      </c>
      <c r="G99" s="19">
        <v>4</v>
      </c>
      <c r="H99" s="17">
        <v>11</v>
      </c>
      <c r="I99" s="17">
        <v>36</v>
      </c>
      <c r="J99" s="17">
        <v>4</v>
      </c>
      <c r="K99" s="17">
        <v>9</v>
      </c>
      <c r="L99" s="17">
        <v>5</v>
      </c>
    </row>
    <row r="100" spans="1:12" ht="17" hidden="1" customHeight="1" x14ac:dyDescent="0.35">
      <c r="A100" s="7" t="str">
        <f t="shared" si="2"/>
        <v xml:space="preserve">4.11.36.4.11.1 </v>
      </c>
      <c r="B100" t="str">
        <f t="shared" si="3"/>
        <v>PASSED</v>
      </c>
      <c r="C100" s="15" t="s">
        <v>301</v>
      </c>
      <c r="G100" s="17">
        <v>4</v>
      </c>
      <c r="H100" s="17">
        <v>11</v>
      </c>
      <c r="I100" s="17">
        <v>36</v>
      </c>
      <c r="J100" s="17">
        <v>4</v>
      </c>
      <c r="K100" s="17">
        <v>11</v>
      </c>
      <c r="L100" s="17">
        <v>1</v>
      </c>
    </row>
    <row r="101" spans="1:12" ht="17" hidden="1" customHeight="1" x14ac:dyDescent="0.35">
      <c r="A101" s="7" t="str">
        <f t="shared" si="2"/>
        <v xml:space="preserve">4.11.37.1 </v>
      </c>
      <c r="B101" t="str">
        <f t="shared" si="3"/>
        <v>PASSED</v>
      </c>
      <c r="C101" s="15" t="s">
        <v>298</v>
      </c>
      <c r="G101" s="17">
        <v>4</v>
      </c>
      <c r="H101" s="17">
        <v>11</v>
      </c>
      <c r="I101" s="17">
        <v>37</v>
      </c>
      <c r="J101" s="17">
        <v>1</v>
      </c>
    </row>
    <row r="102" spans="1:12" ht="17" hidden="1" customHeight="1" x14ac:dyDescent="0.35">
      <c r="A102" s="7" t="str">
        <f t="shared" si="2"/>
        <v xml:space="preserve">4.11.42.1 </v>
      </c>
      <c r="B102" t="str">
        <f t="shared" si="3"/>
        <v>PASSED</v>
      </c>
      <c r="C102" s="15" t="s">
        <v>241</v>
      </c>
      <c r="G102" s="17">
        <v>4</v>
      </c>
      <c r="H102" s="17">
        <v>11</v>
      </c>
      <c r="I102" s="17">
        <v>42</v>
      </c>
      <c r="J102" s="17">
        <v>1</v>
      </c>
    </row>
    <row r="103" spans="1:12" ht="17" hidden="1" customHeight="1" x14ac:dyDescent="0.35">
      <c r="A103" s="7" t="str">
        <f t="shared" si="2"/>
        <v xml:space="preserve">4.11.50.1 </v>
      </c>
      <c r="B103" t="str">
        <f t="shared" si="3"/>
        <v>PASSED</v>
      </c>
      <c r="C103" s="15" t="s">
        <v>41</v>
      </c>
      <c r="G103" s="19">
        <v>4</v>
      </c>
      <c r="H103" s="17">
        <v>11</v>
      </c>
      <c r="I103" s="17">
        <v>50</v>
      </c>
      <c r="J103" s="17">
        <v>1</v>
      </c>
    </row>
    <row r="104" spans="1:12" ht="17" hidden="1" customHeight="1" x14ac:dyDescent="0.35">
      <c r="A104" s="7" t="str">
        <f t="shared" si="2"/>
        <v xml:space="preserve">4.11.50.2 </v>
      </c>
      <c r="B104" t="str">
        <f t="shared" si="3"/>
        <v>PASSED</v>
      </c>
      <c r="C104" s="15" t="s">
        <v>332</v>
      </c>
      <c r="G104" s="17">
        <v>4</v>
      </c>
      <c r="H104" s="17">
        <v>11</v>
      </c>
      <c r="I104" s="17">
        <v>50</v>
      </c>
      <c r="J104" s="17">
        <v>2</v>
      </c>
    </row>
    <row r="105" spans="1:12" ht="17" hidden="1" customHeight="1" x14ac:dyDescent="0.35">
      <c r="A105" s="7" t="str">
        <f t="shared" si="2"/>
        <v xml:space="preserve">4.11.55.1.1 </v>
      </c>
      <c r="B105" t="str">
        <f t="shared" si="3"/>
        <v>PASSED</v>
      </c>
      <c r="C105" s="15" t="s">
        <v>71</v>
      </c>
      <c r="G105" s="19">
        <v>4</v>
      </c>
      <c r="H105" s="17">
        <v>11</v>
      </c>
      <c r="I105" s="17">
        <v>55</v>
      </c>
      <c r="J105" s="17">
        <v>1</v>
      </c>
      <c r="K105" s="17">
        <v>1</v>
      </c>
    </row>
    <row r="106" spans="1:12" ht="17" hidden="1" customHeight="1" x14ac:dyDescent="0.35">
      <c r="A106" s="7" t="str">
        <f t="shared" si="2"/>
        <v xml:space="preserve">4.11.55.1.2 </v>
      </c>
      <c r="B106" t="str">
        <f t="shared" si="3"/>
        <v>PASSED</v>
      </c>
      <c r="C106" s="15" t="s">
        <v>30</v>
      </c>
      <c r="G106" s="19">
        <v>4</v>
      </c>
      <c r="H106" s="17">
        <v>11</v>
      </c>
      <c r="I106" s="17">
        <v>55</v>
      </c>
      <c r="J106" s="17">
        <v>1</v>
      </c>
      <c r="K106" s="17">
        <v>2</v>
      </c>
    </row>
    <row r="107" spans="1:12" ht="17" hidden="1" customHeight="1" x14ac:dyDescent="0.35">
      <c r="A107" s="7" t="str">
        <f t="shared" si="2"/>
        <v xml:space="preserve">4.11.55.1.3 </v>
      </c>
      <c r="B107" t="str">
        <f t="shared" si="3"/>
        <v>PASSED</v>
      </c>
      <c r="C107" s="15" t="s">
        <v>303</v>
      </c>
      <c r="G107" s="17">
        <v>4</v>
      </c>
      <c r="H107" s="17">
        <v>11</v>
      </c>
      <c r="I107" s="17">
        <v>55</v>
      </c>
      <c r="J107" s="17">
        <v>1</v>
      </c>
      <c r="K107" s="17">
        <v>3</v>
      </c>
    </row>
    <row r="108" spans="1:12" ht="17" hidden="1" customHeight="1" x14ac:dyDescent="0.35">
      <c r="A108" s="7" t="str">
        <f t="shared" si="2"/>
        <v xml:space="preserve">4.11.55.2.1 </v>
      </c>
      <c r="B108" t="str">
        <f t="shared" si="3"/>
        <v>PASSED</v>
      </c>
      <c r="C108" s="15" t="s">
        <v>209</v>
      </c>
      <c r="G108" s="17">
        <v>4</v>
      </c>
      <c r="H108" s="17">
        <v>11</v>
      </c>
      <c r="I108" s="17">
        <v>55</v>
      </c>
      <c r="J108" s="17">
        <v>2</v>
      </c>
      <c r="K108" s="17">
        <v>1</v>
      </c>
    </row>
    <row r="109" spans="1:12" ht="17" hidden="1" customHeight="1" x14ac:dyDescent="0.35">
      <c r="A109" s="7" t="str">
        <f t="shared" si="2"/>
        <v xml:space="preserve">4.11.55.2.3 </v>
      </c>
      <c r="B109" t="str">
        <f t="shared" si="3"/>
        <v>PASSED</v>
      </c>
      <c r="C109" s="15" t="s">
        <v>65</v>
      </c>
      <c r="G109" s="19">
        <v>4</v>
      </c>
      <c r="H109" s="17">
        <v>11</v>
      </c>
      <c r="I109" s="17">
        <v>55</v>
      </c>
      <c r="J109" s="17">
        <v>2</v>
      </c>
      <c r="K109" s="17">
        <v>3</v>
      </c>
    </row>
    <row r="110" spans="1:12" ht="17" hidden="1" customHeight="1" x14ac:dyDescent="0.35">
      <c r="A110" s="7" t="str">
        <f t="shared" si="2"/>
        <v xml:space="preserve">4.11.55.2.4 </v>
      </c>
      <c r="B110" t="str">
        <f t="shared" si="3"/>
        <v>PASSED</v>
      </c>
      <c r="C110" s="15" t="s">
        <v>48</v>
      </c>
      <c r="G110" s="19">
        <v>4</v>
      </c>
      <c r="H110" s="17">
        <v>11</v>
      </c>
      <c r="I110" s="17">
        <v>55</v>
      </c>
      <c r="J110" s="17">
        <v>2</v>
      </c>
      <c r="K110" s="17">
        <v>4</v>
      </c>
    </row>
    <row r="111" spans="1:12" ht="17" hidden="1" customHeight="1" x14ac:dyDescent="0.35">
      <c r="A111" s="7" t="str">
        <f t="shared" si="2"/>
        <v xml:space="preserve">6.1 </v>
      </c>
      <c r="B111" t="str">
        <f t="shared" si="3"/>
        <v>PASSED</v>
      </c>
      <c r="C111" s="15" t="s">
        <v>188</v>
      </c>
      <c r="G111" s="17">
        <v>6</v>
      </c>
      <c r="H111" s="17">
        <v>1</v>
      </c>
    </row>
    <row r="112" spans="1:12" ht="17" hidden="1" customHeight="1" x14ac:dyDescent="0.35">
      <c r="A112" s="7" t="str">
        <f t="shared" si="2"/>
        <v xml:space="preserve">6.2 </v>
      </c>
      <c r="B112" t="str">
        <f t="shared" si="3"/>
        <v>PASSED</v>
      </c>
      <c r="C112" s="15" t="s">
        <v>323</v>
      </c>
      <c r="G112" s="17">
        <v>6</v>
      </c>
      <c r="H112" s="17">
        <v>2</v>
      </c>
    </row>
    <row r="113" spans="1:8" ht="17" hidden="1" customHeight="1" x14ac:dyDescent="0.35">
      <c r="A113" s="7" t="str">
        <f t="shared" si="2"/>
        <v xml:space="preserve">6.3 </v>
      </c>
      <c r="B113" t="str">
        <f t="shared" si="3"/>
        <v>PASSED</v>
      </c>
      <c r="C113" s="15" t="s">
        <v>288</v>
      </c>
      <c r="G113" s="17">
        <v>6</v>
      </c>
      <c r="H113" s="17">
        <v>3</v>
      </c>
    </row>
    <row r="114" spans="1:8" ht="17" hidden="1" customHeight="1" x14ac:dyDescent="0.35">
      <c r="A114" s="7" t="str">
        <f t="shared" si="2"/>
        <v xml:space="preserve">6.4 </v>
      </c>
      <c r="B114" t="str">
        <f t="shared" si="3"/>
        <v>PASSED</v>
      </c>
      <c r="C114" s="15" t="s">
        <v>45</v>
      </c>
      <c r="G114" s="19">
        <v>6</v>
      </c>
      <c r="H114" s="17">
        <v>4</v>
      </c>
    </row>
    <row r="115" spans="1:8" ht="17" hidden="1" customHeight="1" x14ac:dyDescent="0.35">
      <c r="A115" s="7" t="str">
        <f t="shared" si="2"/>
        <v xml:space="preserve">6.5 </v>
      </c>
      <c r="B115" t="str">
        <f t="shared" si="3"/>
        <v>PASSED</v>
      </c>
      <c r="C115" s="15" t="s">
        <v>49</v>
      </c>
      <c r="G115" s="19">
        <v>6</v>
      </c>
      <c r="H115" s="17">
        <v>5</v>
      </c>
    </row>
    <row r="116" spans="1:8" ht="17" hidden="1" customHeight="1" x14ac:dyDescent="0.35">
      <c r="A116" s="7" t="str">
        <f t="shared" si="2"/>
        <v xml:space="preserve">6.6 </v>
      </c>
      <c r="B116" t="str">
        <f t="shared" si="3"/>
        <v>PASSED</v>
      </c>
      <c r="C116" s="15" t="s">
        <v>184</v>
      </c>
      <c r="G116" s="17">
        <v>6</v>
      </c>
      <c r="H116" s="17">
        <v>6</v>
      </c>
    </row>
    <row r="117" spans="1:8" ht="17" hidden="1" customHeight="1" x14ac:dyDescent="0.35">
      <c r="A117" s="7" t="str">
        <f t="shared" si="2"/>
        <v xml:space="preserve">6.7 </v>
      </c>
      <c r="B117" t="str">
        <f t="shared" si="3"/>
        <v>PASSED</v>
      </c>
      <c r="C117" s="15" t="s">
        <v>163</v>
      </c>
      <c r="G117" s="17">
        <v>6</v>
      </c>
      <c r="H117" s="17">
        <v>7</v>
      </c>
    </row>
    <row r="118" spans="1:8" ht="17" hidden="1" customHeight="1" x14ac:dyDescent="0.35">
      <c r="A118" s="7" t="str">
        <f t="shared" si="2"/>
        <v xml:space="preserve">6.8 </v>
      </c>
      <c r="B118" t="str">
        <f t="shared" si="3"/>
        <v>PASSED</v>
      </c>
      <c r="C118" s="15" t="s">
        <v>92</v>
      </c>
      <c r="G118" s="19">
        <v>6</v>
      </c>
      <c r="H118" s="17">
        <v>8</v>
      </c>
    </row>
    <row r="119" spans="1:8" ht="17" hidden="1" customHeight="1" x14ac:dyDescent="0.35">
      <c r="A119" s="7" t="str">
        <f t="shared" si="2"/>
        <v xml:space="preserve">6.9 </v>
      </c>
      <c r="B119" t="str">
        <f t="shared" si="3"/>
        <v>PASSED</v>
      </c>
      <c r="C119" s="15" t="s">
        <v>135</v>
      </c>
      <c r="G119" s="17">
        <v>6</v>
      </c>
      <c r="H119" s="17">
        <v>9</v>
      </c>
    </row>
    <row r="120" spans="1:8" ht="17" hidden="1" customHeight="1" x14ac:dyDescent="0.35">
      <c r="A120" s="7" t="str">
        <f t="shared" si="2"/>
        <v xml:space="preserve">6.10 </v>
      </c>
      <c r="B120" t="str">
        <f t="shared" si="3"/>
        <v>PASSED</v>
      </c>
      <c r="C120" s="15" t="s">
        <v>174</v>
      </c>
      <c r="G120" s="17">
        <v>6</v>
      </c>
      <c r="H120" s="17">
        <v>10</v>
      </c>
    </row>
    <row r="121" spans="1:8" ht="17" hidden="1" customHeight="1" x14ac:dyDescent="0.35">
      <c r="A121" s="7" t="str">
        <f t="shared" si="2"/>
        <v xml:space="preserve">6.11 </v>
      </c>
      <c r="B121" t="str">
        <f t="shared" si="3"/>
        <v>PASSED</v>
      </c>
      <c r="C121" s="15" t="s">
        <v>278</v>
      </c>
      <c r="G121" s="17">
        <v>6</v>
      </c>
      <c r="H121" s="17">
        <v>11</v>
      </c>
    </row>
    <row r="122" spans="1:8" ht="17" hidden="1" customHeight="1" x14ac:dyDescent="0.35">
      <c r="A122" s="7" t="str">
        <f t="shared" si="2"/>
        <v xml:space="preserve">6.12 </v>
      </c>
      <c r="B122" t="str">
        <f t="shared" si="3"/>
        <v>PASSED</v>
      </c>
      <c r="C122" s="15" t="s">
        <v>144</v>
      </c>
      <c r="G122" s="17">
        <v>6</v>
      </c>
      <c r="H122" s="17">
        <v>12</v>
      </c>
    </row>
    <row r="123" spans="1:8" ht="17" hidden="1" customHeight="1" x14ac:dyDescent="0.35">
      <c r="A123" s="7" t="str">
        <f t="shared" si="2"/>
        <v xml:space="preserve">6.13 </v>
      </c>
      <c r="B123" t="str">
        <f t="shared" si="3"/>
        <v>PASSED</v>
      </c>
      <c r="C123" s="15" t="s">
        <v>31</v>
      </c>
      <c r="G123" s="19">
        <v>6</v>
      </c>
      <c r="H123" s="17">
        <v>13</v>
      </c>
    </row>
    <row r="124" spans="1:8" ht="17" hidden="1" customHeight="1" x14ac:dyDescent="0.35">
      <c r="A124" s="7" t="str">
        <f t="shared" si="2"/>
        <v xml:space="preserve">6.14 </v>
      </c>
      <c r="B124" t="str">
        <f t="shared" si="3"/>
        <v>PASSED</v>
      </c>
      <c r="C124" s="15" t="s">
        <v>86</v>
      </c>
      <c r="G124" s="19">
        <v>6</v>
      </c>
      <c r="H124" s="17">
        <v>14</v>
      </c>
    </row>
    <row r="125" spans="1:8" ht="17" hidden="1" customHeight="1" x14ac:dyDescent="0.35">
      <c r="A125" s="7" t="str">
        <f t="shared" si="2"/>
        <v xml:space="preserve">6.15 </v>
      </c>
      <c r="B125" t="str">
        <f t="shared" si="3"/>
        <v>PASSED</v>
      </c>
      <c r="C125" s="15" t="s">
        <v>287</v>
      </c>
      <c r="G125" s="17">
        <v>6</v>
      </c>
      <c r="H125" s="17">
        <v>15</v>
      </c>
    </row>
    <row r="126" spans="1:8" ht="17" hidden="1" customHeight="1" x14ac:dyDescent="0.35">
      <c r="A126" s="7" t="str">
        <f t="shared" si="2"/>
        <v xml:space="preserve">6.16 </v>
      </c>
      <c r="B126" t="str">
        <f t="shared" si="3"/>
        <v>PASSED</v>
      </c>
      <c r="C126" s="15" t="s">
        <v>101</v>
      </c>
      <c r="G126" s="19">
        <v>6</v>
      </c>
      <c r="H126" s="17">
        <v>16</v>
      </c>
    </row>
    <row r="127" spans="1:8" ht="17" hidden="1" customHeight="1" x14ac:dyDescent="0.35">
      <c r="A127" s="7" t="str">
        <f t="shared" si="2"/>
        <v xml:space="preserve">6.17 </v>
      </c>
      <c r="B127" t="str">
        <f t="shared" si="3"/>
        <v>PASSED</v>
      </c>
      <c r="C127" s="15" t="s">
        <v>252</v>
      </c>
      <c r="G127" s="17">
        <v>6</v>
      </c>
      <c r="H127" s="17">
        <v>17</v>
      </c>
    </row>
    <row r="128" spans="1:8" ht="17" hidden="1" customHeight="1" x14ac:dyDescent="0.35">
      <c r="A128" s="7" t="str">
        <f t="shared" si="2"/>
        <v xml:space="preserve">6.18 </v>
      </c>
      <c r="B128" t="str">
        <f t="shared" si="3"/>
        <v>PASSED</v>
      </c>
      <c r="C128" s="15" t="s">
        <v>308</v>
      </c>
      <c r="G128" s="17">
        <v>6</v>
      </c>
      <c r="H128" s="17">
        <v>18</v>
      </c>
    </row>
    <row r="129" spans="1:8" ht="17" hidden="1" customHeight="1" x14ac:dyDescent="0.35">
      <c r="A129" s="7" t="str">
        <f t="shared" si="2"/>
        <v xml:space="preserve">6.19 </v>
      </c>
      <c r="B129" t="str">
        <f t="shared" si="3"/>
        <v>PASSED</v>
      </c>
      <c r="C129" s="15" t="s">
        <v>153</v>
      </c>
      <c r="G129" s="17">
        <v>6</v>
      </c>
      <c r="H129" s="17">
        <v>19</v>
      </c>
    </row>
    <row r="130" spans="1:8" ht="17" hidden="1" customHeight="1" x14ac:dyDescent="0.35">
      <c r="A130" s="7" t="str">
        <f t="shared" si="2"/>
        <v xml:space="preserve">6.20 </v>
      </c>
      <c r="B130" t="str">
        <f t="shared" si="3"/>
        <v>PASSED</v>
      </c>
      <c r="C130" s="15" t="s">
        <v>189</v>
      </c>
      <c r="G130" s="17">
        <v>6</v>
      </c>
      <c r="H130" s="17">
        <v>20</v>
      </c>
    </row>
    <row r="131" spans="1:8" ht="17" hidden="1" customHeight="1" x14ac:dyDescent="0.35">
      <c r="A131" s="7" t="str">
        <f t="shared" si="2"/>
        <v xml:space="preserve">6.21 </v>
      </c>
      <c r="B131" t="str">
        <f t="shared" si="3"/>
        <v>PASSED</v>
      </c>
      <c r="C131" s="15" t="s">
        <v>120</v>
      </c>
      <c r="G131" s="17">
        <v>6</v>
      </c>
      <c r="H131" s="17">
        <v>21</v>
      </c>
    </row>
    <row r="132" spans="1:8" ht="17" hidden="1" customHeight="1" x14ac:dyDescent="0.35">
      <c r="A132" s="7" t="str">
        <f t="shared" si="2"/>
        <v xml:space="preserve">6.22 </v>
      </c>
      <c r="B132" t="str">
        <f t="shared" si="3"/>
        <v>PASSED</v>
      </c>
      <c r="C132" s="15" t="s">
        <v>320</v>
      </c>
      <c r="G132" s="17">
        <v>6</v>
      </c>
      <c r="H132" s="17">
        <v>22</v>
      </c>
    </row>
    <row r="133" spans="1:8" ht="17" hidden="1" customHeight="1" x14ac:dyDescent="0.35">
      <c r="A133" s="7" t="str">
        <f t="shared" si="2"/>
        <v xml:space="preserve">6.23 </v>
      </c>
      <c r="B133" t="str">
        <f t="shared" si="3"/>
        <v>PASSED</v>
      </c>
      <c r="C133" s="15" t="s">
        <v>124</v>
      </c>
      <c r="G133" s="17">
        <v>6</v>
      </c>
      <c r="H133" s="17">
        <v>23</v>
      </c>
    </row>
    <row r="134" spans="1:8" ht="17" hidden="1" customHeight="1" x14ac:dyDescent="0.35">
      <c r="A134" s="7" t="str">
        <f t="shared" si="2"/>
        <v xml:space="preserve">6.24 </v>
      </c>
      <c r="B134" t="str">
        <f t="shared" si="3"/>
        <v>PASSED</v>
      </c>
      <c r="C134" s="15" t="s">
        <v>336</v>
      </c>
      <c r="G134" s="17">
        <v>6</v>
      </c>
      <c r="H134" s="17">
        <v>24</v>
      </c>
    </row>
    <row r="135" spans="1:8" ht="17" hidden="1" customHeight="1" x14ac:dyDescent="0.35">
      <c r="A135" s="7" t="str">
        <f t="shared" ref="A135:A198" si="4">MID(C135,2,FIND(")",C135,1)-5)</f>
        <v xml:space="preserve">6.25 </v>
      </c>
      <c r="B135" t="str">
        <f t="shared" ref="B135:B198" si="5">IF(ISNUMBER(FIND("[PASSED]",C135,1)),"PASSED","FAILED")</f>
        <v>PASSED</v>
      </c>
      <c r="C135" s="15" t="s">
        <v>169</v>
      </c>
      <c r="G135" s="17">
        <v>6</v>
      </c>
      <c r="H135" s="17">
        <v>25</v>
      </c>
    </row>
    <row r="136" spans="1:8" ht="17" hidden="1" customHeight="1" x14ac:dyDescent="0.35">
      <c r="A136" s="7" t="str">
        <f t="shared" si="4"/>
        <v xml:space="preserve">6.26 </v>
      </c>
      <c r="B136" t="str">
        <f t="shared" si="5"/>
        <v>PASSED</v>
      </c>
      <c r="C136" s="15" t="s">
        <v>276</v>
      </c>
      <c r="G136" s="17">
        <v>6</v>
      </c>
      <c r="H136" s="17">
        <v>26</v>
      </c>
    </row>
    <row r="137" spans="1:8" ht="17" hidden="1" customHeight="1" x14ac:dyDescent="0.35">
      <c r="A137" s="7" t="str">
        <f t="shared" si="4"/>
        <v xml:space="preserve">6.27 </v>
      </c>
      <c r="B137" t="str">
        <f t="shared" si="5"/>
        <v>PASSED</v>
      </c>
      <c r="C137" s="15" t="s">
        <v>21</v>
      </c>
      <c r="G137" s="19">
        <v>6</v>
      </c>
      <c r="H137" s="17">
        <v>27</v>
      </c>
    </row>
    <row r="138" spans="1:8" ht="17" hidden="1" customHeight="1" x14ac:dyDescent="0.35">
      <c r="A138" s="7" t="str">
        <f t="shared" si="4"/>
        <v xml:space="preserve">15.1 </v>
      </c>
      <c r="B138" t="str">
        <f t="shared" si="5"/>
        <v>PASSED</v>
      </c>
      <c r="C138" s="15" t="s">
        <v>9</v>
      </c>
      <c r="G138" s="19">
        <v>15</v>
      </c>
      <c r="H138" s="17">
        <v>1</v>
      </c>
    </row>
    <row r="139" spans="1:8" ht="30.5" customHeight="1" x14ac:dyDescent="0.35">
      <c r="A139" s="7" t="str">
        <f t="shared" si="4"/>
        <v xml:space="preserve">15.2 </v>
      </c>
      <c r="B139" t="str">
        <f t="shared" si="5"/>
        <v>FAILED</v>
      </c>
      <c r="C139" s="15" t="s">
        <v>119</v>
      </c>
      <c r="D139" s="7" t="s">
        <v>359</v>
      </c>
      <c r="E139" s="7" t="s">
        <v>355</v>
      </c>
      <c r="F139" s="7" t="s">
        <v>360</v>
      </c>
      <c r="G139" s="17">
        <v>15</v>
      </c>
      <c r="H139" s="17">
        <v>2</v>
      </c>
    </row>
    <row r="140" spans="1:8" ht="17" hidden="1" customHeight="1" x14ac:dyDescent="0.35">
      <c r="A140" s="7" t="str">
        <f t="shared" si="4"/>
        <v xml:space="preserve">22.1 </v>
      </c>
      <c r="B140" t="str">
        <f t="shared" si="5"/>
        <v>PASSED</v>
      </c>
      <c r="C140" s="15" t="s">
        <v>62</v>
      </c>
      <c r="G140" s="19">
        <v>22</v>
      </c>
      <c r="H140" s="17">
        <v>1</v>
      </c>
    </row>
    <row r="141" spans="1:8" ht="17" hidden="1" customHeight="1" x14ac:dyDescent="0.35">
      <c r="A141" s="7" t="str">
        <f t="shared" si="4"/>
        <v xml:space="preserve">22.2 </v>
      </c>
      <c r="B141" t="str">
        <f t="shared" si="5"/>
        <v>PASSED</v>
      </c>
      <c r="C141" s="15" t="s">
        <v>330</v>
      </c>
      <c r="G141" s="17">
        <v>22</v>
      </c>
      <c r="H141" s="17">
        <v>2</v>
      </c>
    </row>
    <row r="142" spans="1:8" ht="17" hidden="1" customHeight="1" x14ac:dyDescent="0.35">
      <c r="A142" s="7" t="str">
        <f t="shared" si="4"/>
        <v xml:space="preserve">22.3 </v>
      </c>
      <c r="B142" t="str">
        <f t="shared" si="5"/>
        <v>PASSED</v>
      </c>
      <c r="C142" s="15" t="s">
        <v>94</v>
      </c>
      <c r="G142" s="19">
        <v>22</v>
      </c>
      <c r="H142" s="17">
        <v>3</v>
      </c>
    </row>
    <row r="143" spans="1:8" ht="17" hidden="1" customHeight="1" x14ac:dyDescent="0.35">
      <c r="A143" s="7" t="str">
        <f t="shared" si="4"/>
        <v xml:space="preserve">22.4 </v>
      </c>
      <c r="B143" t="str">
        <f t="shared" si="5"/>
        <v>PASSED</v>
      </c>
      <c r="C143" s="15" t="s">
        <v>52</v>
      </c>
      <c r="G143" s="19">
        <v>22</v>
      </c>
      <c r="H143" s="17">
        <v>4</v>
      </c>
    </row>
    <row r="144" spans="1:8" ht="17" hidden="1" customHeight="1" x14ac:dyDescent="0.35">
      <c r="A144" s="7" t="str">
        <f t="shared" si="4"/>
        <v xml:space="preserve">22.5 </v>
      </c>
      <c r="B144" t="str">
        <f t="shared" si="5"/>
        <v>PASSED</v>
      </c>
      <c r="C144" s="15" t="s">
        <v>294</v>
      </c>
      <c r="G144" s="17">
        <v>22</v>
      </c>
      <c r="H144" s="17">
        <v>5</v>
      </c>
    </row>
    <row r="145" spans="1:8" ht="17" hidden="1" customHeight="1" x14ac:dyDescent="0.35">
      <c r="A145" s="7" t="str">
        <f t="shared" si="4"/>
        <v xml:space="preserve">22.6 </v>
      </c>
      <c r="B145" t="str">
        <f t="shared" si="5"/>
        <v>PASSED</v>
      </c>
      <c r="C145" s="15" t="s">
        <v>64</v>
      </c>
      <c r="G145" s="19">
        <v>22</v>
      </c>
      <c r="H145" s="17">
        <v>6</v>
      </c>
    </row>
    <row r="146" spans="1:8" ht="17" hidden="1" customHeight="1" x14ac:dyDescent="0.35">
      <c r="A146" s="7" t="str">
        <f t="shared" si="4"/>
        <v xml:space="preserve">22.7 </v>
      </c>
      <c r="B146" t="str">
        <f t="shared" si="5"/>
        <v>PASSED</v>
      </c>
      <c r="C146" s="15" t="s">
        <v>106</v>
      </c>
      <c r="G146" s="19">
        <v>22</v>
      </c>
      <c r="H146" s="17">
        <v>7</v>
      </c>
    </row>
    <row r="147" spans="1:8" ht="17" hidden="1" customHeight="1" x14ac:dyDescent="0.35">
      <c r="A147" s="7" t="str">
        <f t="shared" si="4"/>
        <v xml:space="preserve">22.8 </v>
      </c>
      <c r="B147" t="str">
        <f t="shared" si="5"/>
        <v>PASSED</v>
      </c>
      <c r="C147" s="15" t="s">
        <v>204</v>
      </c>
      <c r="G147" s="17">
        <v>22</v>
      </c>
      <c r="H147" s="17">
        <v>8</v>
      </c>
    </row>
    <row r="148" spans="1:8" ht="17" hidden="1" customHeight="1" x14ac:dyDescent="0.35">
      <c r="A148" s="7" t="str">
        <f t="shared" si="4"/>
        <v xml:space="preserve">22.9 </v>
      </c>
      <c r="B148" t="str">
        <f t="shared" si="5"/>
        <v>PASSED</v>
      </c>
      <c r="C148" s="15" t="s">
        <v>125</v>
      </c>
      <c r="G148" s="17">
        <v>22</v>
      </c>
      <c r="H148" s="17">
        <v>9</v>
      </c>
    </row>
    <row r="149" spans="1:8" ht="17" hidden="1" customHeight="1" x14ac:dyDescent="0.35">
      <c r="A149" s="7" t="str">
        <f t="shared" si="4"/>
        <v xml:space="preserve">22.10 </v>
      </c>
      <c r="B149" t="str">
        <f t="shared" si="5"/>
        <v>PASSED</v>
      </c>
      <c r="C149" s="15" t="s">
        <v>229</v>
      </c>
      <c r="G149" s="17">
        <v>22</v>
      </c>
      <c r="H149" s="17">
        <v>10</v>
      </c>
    </row>
    <row r="150" spans="1:8" ht="17" hidden="1" customHeight="1" x14ac:dyDescent="0.35">
      <c r="A150" s="7" t="str">
        <f t="shared" si="4"/>
        <v xml:space="preserve">22.11 </v>
      </c>
      <c r="B150" t="str">
        <f t="shared" si="5"/>
        <v>PASSED</v>
      </c>
      <c r="C150" s="15" t="s">
        <v>35</v>
      </c>
      <c r="G150" s="19">
        <v>22</v>
      </c>
      <c r="H150" s="17">
        <v>11</v>
      </c>
    </row>
    <row r="151" spans="1:8" ht="17" hidden="1" customHeight="1" x14ac:dyDescent="0.35">
      <c r="A151" s="7" t="str">
        <f t="shared" si="4"/>
        <v xml:space="preserve">22.12 </v>
      </c>
      <c r="B151" t="str">
        <f t="shared" si="5"/>
        <v>PASSED</v>
      </c>
      <c r="C151" s="15" t="s">
        <v>61</v>
      </c>
      <c r="G151" s="19">
        <v>22</v>
      </c>
      <c r="H151" s="17">
        <v>12</v>
      </c>
    </row>
    <row r="152" spans="1:8" ht="17" hidden="1" customHeight="1" x14ac:dyDescent="0.35">
      <c r="A152" s="7" t="str">
        <f t="shared" si="4"/>
        <v xml:space="preserve">22.13 </v>
      </c>
      <c r="B152" t="str">
        <f t="shared" si="5"/>
        <v>PASSED</v>
      </c>
      <c r="C152" s="15" t="s">
        <v>96</v>
      </c>
      <c r="G152" s="19">
        <v>22</v>
      </c>
      <c r="H152" s="17">
        <v>13</v>
      </c>
    </row>
    <row r="153" spans="1:8" ht="17" hidden="1" customHeight="1" x14ac:dyDescent="0.35">
      <c r="A153" s="7" t="str">
        <f t="shared" si="4"/>
        <v xml:space="preserve">22.14 </v>
      </c>
      <c r="B153" t="str">
        <f t="shared" si="5"/>
        <v>PASSED</v>
      </c>
      <c r="C153" s="15" t="s">
        <v>210</v>
      </c>
      <c r="G153" s="17">
        <v>22</v>
      </c>
      <c r="H153" s="17">
        <v>14</v>
      </c>
    </row>
    <row r="154" spans="1:8" ht="17" hidden="1" customHeight="1" x14ac:dyDescent="0.35">
      <c r="A154" s="7" t="str">
        <f t="shared" si="4"/>
        <v xml:space="preserve">22.15 </v>
      </c>
      <c r="B154" t="str">
        <f t="shared" si="5"/>
        <v>PASSED</v>
      </c>
      <c r="C154" s="15" t="s">
        <v>89</v>
      </c>
      <c r="G154" s="19">
        <v>22</v>
      </c>
      <c r="H154" s="17">
        <v>15</v>
      </c>
    </row>
    <row r="155" spans="1:8" ht="17" hidden="1" customHeight="1" x14ac:dyDescent="0.35">
      <c r="A155" s="7" t="str">
        <f t="shared" si="4"/>
        <v xml:space="preserve">22.16 </v>
      </c>
      <c r="B155" t="str">
        <f t="shared" si="5"/>
        <v>PASSED</v>
      </c>
      <c r="C155" s="15" t="s">
        <v>127</v>
      </c>
      <c r="G155" s="17">
        <v>22</v>
      </c>
      <c r="H155" s="17">
        <v>16</v>
      </c>
    </row>
    <row r="156" spans="1:8" ht="17" hidden="1" customHeight="1" x14ac:dyDescent="0.35">
      <c r="A156" s="7" t="str">
        <f t="shared" si="4"/>
        <v xml:space="preserve">22.17 </v>
      </c>
      <c r="B156" t="str">
        <f t="shared" si="5"/>
        <v>PASSED</v>
      </c>
      <c r="C156" s="15" t="s">
        <v>286</v>
      </c>
      <c r="G156" s="17">
        <v>22</v>
      </c>
      <c r="H156" s="17">
        <v>17</v>
      </c>
    </row>
    <row r="157" spans="1:8" ht="17" hidden="1" customHeight="1" x14ac:dyDescent="0.35">
      <c r="A157" s="7" t="str">
        <f t="shared" si="4"/>
        <v xml:space="preserve">22.18 </v>
      </c>
      <c r="B157" t="str">
        <f t="shared" si="5"/>
        <v>PASSED</v>
      </c>
      <c r="C157" s="15" t="s">
        <v>151</v>
      </c>
      <c r="G157" s="17">
        <v>22</v>
      </c>
      <c r="H157" s="17">
        <v>18</v>
      </c>
    </row>
    <row r="158" spans="1:8" ht="17" hidden="1" customHeight="1" x14ac:dyDescent="0.35">
      <c r="A158" s="7" t="str">
        <f t="shared" si="4"/>
        <v xml:space="preserve">22.19 </v>
      </c>
      <c r="B158" t="str">
        <f t="shared" si="5"/>
        <v>PASSED</v>
      </c>
      <c r="C158" s="15" t="s">
        <v>103</v>
      </c>
      <c r="G158" s="19">
        <v>22</v>
      </c>
      <c r="H158" s="17">
        <v>19</v>
      </c>
    </row>
    <row r="159" spans="1:8" ht="17" hidden="1" customHeight="1" x14ac:dyDescent="0.35">
      <c r="A159" s="7" t="str">
        <f t="shared" si="4"/>
        <v xml:space="preserve">22.20 </v>
      </c>
      <c r="B159" t="str">
        <f t="shared" si="5"/>
        <v>PASSED</v>
      </c>
      <c r="C159" s="15" t="s">
        <v>56</v>
      </c>
      <c r="G159" s="19">
        <v>22</v>
      </c>
      <c r="H159" s="17">
        <v>20</v>
      </c>
    </row>
    <row r="160" spans="1:8" ht="30.5" customHeight="1" x14ac:dyDescent="0.35">
      <c r="A160" s="7" t="str">
        <f t="shared" si="4"/>
        <v xml:space="preserve">22.21 </v>
      </c>
      <c r="B160" t="str">
        <f t="shared" si="5"/>
        <v>FAILED</v>
      </c>
      <c r="C160" s="15" t="s">
        <v>191</v>
      </c>
      <c r="D160" s="7" t="s">
        <v>361</v>
      </c>
      <c r="E160" s="7" t="s">
        <v>355</v>
      </c>
      <c r="F160" s="7" t="s">
        <v>362</v>
      </c>
      <c r="G160" s="17">
        <v>22</v>
      </c>
      <c r="H160" s="17">
        <v>21</v>
      </c>
    </row>
    <row r="161" spans="1:8" ht="17" hidden="1" customHeight="1" x14ac:dyDescent="0.35">
      <c r="A161" s="7" t="str">
        <f t="shared" si="4"/>
        <v xml:space="preserve">22.22 </v>
      </c>
      <c r="B161" t="str">
        <f t="shared" si="5"/>
        <v>PASSED</v>
      </c>
      <c r="C161" s="15" t="s">
        <v>117</v>
      </c>
      <c r="G161" s="17">
        <v>22</v>
      </c>
      <c r="H161" s="17">
        <v>22</v>
      </c>
    </row>
    <row r="162" spans="1:8" ht="17" hidden="1" customHeight="1" x14ac:dyDescent="0.35">
      <c r="A162" s="7" t="str">
        <f t="shared" si="4"/>
        <v xml:space="preserve">22.23 </v>
      </c>
      <c r="B162" t="str">
        <f t="shared" si="5"/>
        <v>PASSED</v>
      </c>
      <c r="C162" s="15" t="s">
        <v>173</v>
      </c>
      <c r="G162" s="17">
        <v>22</v>
      </c>
      <c r="H162" s="17">
        <v>23</v>
      </c>
    </row>
    <row r="163" spans="1:8" ht="17" hidden="1" customHeight="1" x14ac:dyDescent="0.35">
      <c r="A163" s="7" t="str">
        <f t="shared" si="4"/>
        <v xml:space="preserve">22.26 </v>
      </c>
      <c r="B163" t="str">
        <f t="shared" si="5"/>
        <v>PASSED</v>
      </c>
      <c r="C163" s="15" t="s">
        <v>59</v>
      </c>
      <c r="G163" s="19">
        <v>22</v>
      </c>
      <c r="H163" s="17">
        <v>26</v>
      </c>
    </row>
    <row r="164" spans="1:8" ht="17" hidden="1" customHeight="1" x14ac:dyDescent="0.35">
      <c r="A164" s="7" t="str">
        <f t="shared" si="4"/>
        <v xml:space="preserve">22.27 </v>
      </c>
      <c r="B164" t="str">
        <f t="shared" si="5"/>
        <v>PASSED</v>
      </c>
      <c r="C164" s="15" t="s">
        <v>300</v>
      </c>
      <c r="G164" s="17">
        <v>22</v>
      </c>
      <c r="H164" s="17">
        <v>27</v>
      </c>
    </row>
    <row r="165" spans="1:8" ht="17" hidden="1" customHeight="1" x14ac:dyDescent="0.35">
      <c r="A165" s="7" t="str">
        <f t="shared" si="4"/>
        <v xml:space="preserve">22.28 </v>
      </c>
      <c r="B165" t="str">
        <f t="shared" si="5"/>
        <v>PASSED</v>
      </c>
      <c r="C165" s="15" t="s">
        <v>129</v>
      </c>
      <c r="G165" s="17">
        <v>22</v>
      </c>
      <c r="H165" s="17">
        <v>28</v>
      </c>
    </row>
    <row r="166" spans="1:8" ht="17" hidden="1" customHeight="1" x14ac:dyDescent="0.35">
      <c r="A166" s="7" t="str">
        <f t="shared" si="4"/>
        <v xml:space="preserve">22.29 </v>
      </c>
      <c r="B166" t="str">
        <f t="shared" si="5"/>
        <v>PASSED</v>
      </c>
      <c r="C166" s="15" t="s">
        <v>238</v>
      </c>
      <c r="G166" s="17">
        <v>22</v>
      </c>
      <c r="H166" s="17">
        <v>29</v>
      </c>
    </row>
    <row r="167" spans="1:8" ht="17" hidden="1" customHeight="1" x14ac:dyDescent="0.35">
      <c r="A167" s="7" t="str">
        <f t="shared" si="4"/>
        <v xml:space="preserve">22.30 </v>
      </c>
      <c r="B167" t="str">
        <f t="shared" si="5"/>
        <v>PASSED</v>
      </c>
      <c r="C167" s="15" t="s">
        <v>36</v>
      </c>
      <c r="G167" s="19">
        <v>22</v>
      </c>
      <c r="H167" s="17">
        <v>30</v>
      </c>
    </row>
    <row r="168" spans="1:8" ht="17" hidden="1" customHeight="1" x14ac:dyDescent="0.35">
      <c r="A168" s="7" t="str">
        <f t="shared" si="4"/>
        <v xml:space="preserve">22.32 </v>
      </c>
      <c r="B168" t="str">
        <f t="shared" si="5"/>
        <v>PASSED</v>
      </c>
      <c r="C168" s="15" t="s">
        <v>164</v>
      </c>
      <c r="G168" s="17">
        <v>22</v>
      </c>
      <c r="H168" s="17">
        <v>32</v>
      </c>
    </row>
    <row r="169" spans="1:8" ht="17" hidden="1" customHeight="1" x14ac:dyDescent="0.35">
      <c r="A169" s="7" t="str">
        <f t="shared" si="4"/>
        <v xml:space="preserve">23.1 </v>
      </c>
      <c r="B169" t="str">
        <f t="shared" si="5"/>
        <v>PASSED</v>
      </c>
      <c r="C169" s="15" t="s">
        <v>282</v>
      </c>
      <c r="G169" s="17">
        <v>23</v>
      </c>
      <c r="H169" s="17">
        <v>1</v>
      </c>
    </row>
    <row r="170" spans="1:8" ht="17" hidden="1" customHeight="1" x14ac:dyDescent="0.35">
      <c r="A170" s="7" t="str">
        <f t="shared" si="4"/>
        <v xml:space="preserve">24.1 </v>
      </c>
      <c r="B170" t="str">
        <f t="shared" si="5"/>
        <v>PASSED</v>
      </c>
      <c r="C170" s="15" t="s">
        <v>72</v>
      </c>
      <c r="G170" s="19">
        <v>24</v>
      </c>
      <c r="H170" s="17">
        <v>1</v>
      </c>
    </row>
    <row r="171" spans="1:8" ht="17" hidden="1" customHeight="1" x14ac:dyDescent="0.35">
      <c r="A171" s="7" t="str">
        <f t="shared" si="4"/>
        <v xml:space="preserve">24.2 </v>
      </c>
      <c r="B171" t="str">
        <f t="shared" si="5"/>
        <v>PASSED</v>
      </c>
      <c r="C171" s="15" t="s">
        <v>34</v>
      </c>
      <c r="G171" s="19">
        <v>24</v>
      </c>
      <c r="H171" s="17">
        <v>2</v>
      </c>
    </row>
    <row r="172" spans="1:8" ht="17" hidden="1" customHeight="1" x14ac:dyDescent="0.35">
      <c r="A172" s="7" t="str">
        <f t="shared" si="4"/>
        <v xml:space="preserve">24.3 </v>
      </c>
      <c r="B172" t="str">
        <f t="shared" si="5"/>
        <v>PASSED</v>
      </c>
      <c r="C172" s="15" t="s">
        <v>78</v>
      </c>
      <c r="G172" s="19">
        <v>24</v>
      </c>
      <c r="H172" s="17">
        <v>3</v>
      </c>
    </row>
    <row r="173" spans="1:8" ht="17" hidden="1" customHeight="1" x14ac:dyDescent="0.35">
      <c r="A173" s="7" t="str">
        <f t="shared" si="4"/>
        <v xml:space="preserve">24.4 </v>
      </c>
      <c r="B173" t="str">
        <f t="shared" si="5"/>
        <v>PASSED</v>
      </c>
      <c r="C173" s="15" t="s">
        <v>258</v>
      </c>
      <c r="G173" s="17">
        <v>24</v>
      </c>
      <c r="H173" s="17">
        <v>4</v>
      </c>
    </row>
    <row r="174" spans="1:8" ht="17" hidden="1" customHeight="1" x14ac:dyDescent="0.35">
      <c r="A174" s="7" t="str">
        <f t="shared" si="4"/>
        <v xml:space="preserve">26.1 </v>
      </c>
      <c r="B174" t="str">
        <f t="shared" si="5"/>
        <v>PASSED</v>
      </c>
      <c r="C174" s="15" t="s">
        <v>42</v>
      </c>
      <c r="G174" s="19">
        <v>26</v>
      </c>
      <c r="H174" s="17">
        <v>1</v>
      </c>
    </row>
    <row r="175" spans="1:8" ht="30.5" customHeight="1" x14ac:dyDescent="0.35">
      <c r="A175" s="7" t="str">
        <f t="shared" si="4"/>
        <v xml:space="preserve">26.2 </v>
      </c>
      <c r="B175" t="str">
        <f t="shared" si="5"/>
        <v>FAILED</v>
      </c>
      <c r="C175" s="15" t="s">
        <v>28</v>
      </c>
      <c r="D175" s="7" t="s">
        <v>363</v>
      </c>
      <c r="E175" s="7" t="s">
        <v>355</v>
      </c>
      <c r="F175" s="7" t="s">
        <v>354</v>
      </c>
      <c r="G175" s="19">
        <v>26</v>
      </c>
      <c r="H175" s="17">
        <v>2</v>
      </c>
    </row>
    <row r="176" spans="1:8" ht="30.5" customHeight="1" x14ac:dyDescent="0.35">
      <c r="A176" s="7" t="str">
        <f t="shared" si="4"/>
        <v xml:space="preserve">26.3 </v>
      </c>
      <c r="B176" t="str">
        <f t="shared" si="5"/>
        <v>FAILED</v>
      </c>
      <c r="C176" s="15" t="s">
        <v>262</v>
      </c>
      <c r="D176" s="7" t="s">
        <v>364</v>
      </c>
      <c r="E176" s="7" t="s">
        <v>355</v>
      </c>
      <c r="F176" s="7" t="s">
        <v>354</v>
      </c>
      <c r="G176" s="17">
        <v>26</v>
      </c>
      <c r="H176" s="17">
        <v>3</v>
      </c>
    </row>
    <row r="177" spans="1:8" ht="30.5" customHeight="1" x14ac:dyDescent="0.35">
      <c r="A177" s="7" t="str">
        <f t="shared" si="4"/>
        <v xml:space="preserve">26.4 </v>
      </c>
      <c r="B177" t="str">
        <f t="shared" si="5"/>
        <v>FAILED</v>
      </c>
      <c r="C177" s="15" t="s">
        <v>73</v>
      </c>
      <c r="D177" s="7" t="s">
        <v>365</v>
      </c>
      <c r="E177" s="7" t="s">
        <v>355</v>
      </c>
      <c r="F177" s="7" t="s">
        <v>362</v>
      </c>
      <c r="G177" s="19">
        <v>26</v>
      </c>
      <c r="H177" s="17">
        <v>4</v>
      </c>
    </row>
    <row r="178" spans="1:8" ht="30.5" customHeight="1" x14ac:dyDescent="0.35">
      <c r="A178" s="7" t="str">
        <f t="shared" si="4"/>
        <v xml:space="preserve">26.5 </v>
      </c>
      <c r="B178" t="str">
        <f t="shared" si="5"/>
        <v>FAILED</v>
      </c>
      <c r="C178" s="15" t="s">
        <v>165</v>
      </c>
      <c r="D178" s="7" t="s">
        <v>366</v>
      </c>
      <c r="E178" s="7" t="s">
        <v>355</v>
      </c>
      <c r="F178" s="7" t="s">
        <v>362</v>
      </c>
      <c r="G178" s="17">
        <v>26</v>
      </c>
      <c r="H178" s="17">
        <v>5</v>
      </c>
    </row>
    <row r="179" spans="1:8" ht="30.5" customHeight="1" x14ac:dyDescent="0.35">
      <c r="A179" s="7" t="str">
        <f t="shared" si="4"/>
        <v xml:space="preserve">26.6 </v>
      </c>
      <c r="B179" t="str">
        <f t="shared" si="5"/>
        <v>FAILED</v>
      </c>
      <c r="C179" s="15" t="s">
        <v>181</v>
      </c>
      <c r="D179" s="7" t="s">
        <v>363</v>
      </c>
      <c r="E179" s="7" t="s">
        <v>355</v>
      </c>
      <c r="F179" s="7" t="s">
        <v>362</v>
      </c>
      <c r="G179" s="17">
        <v>26</v>
      </c>
      <c r="H179" s="17">
        <v>6</v>
      </c>
    </row>
    <row r="180" spans="1:8" ht="30.5" customHeight="1" x14ac:dyDescent="0.35">
      <c r="A180" s="7" t="str">
        <f t="shared" si="4"/>
        <v xml:space="preserve">26.7 </v>
      </c>
      <c r="B180" t="str">
        <f t="shared" si="5"/>
        <v>FAILED</v>
      </c>
      <c r="C180" s="15" t="s">
        <v>179</v>
      </c>
      <c r="D180" s="7" t="s">
        <v>367</v>
      </c>
      <c r="E180" s="7" t="s">
        <v>355</v>
      </c>
      <c r="F180" s="7" t="s">
        <v>354</v>
      </c>
      <c r="G180" s="17">
        <v>26</v>
      </c>
      <c r="H180" s="17">
        <v>7</v>
      </c>
    </row>
    <row r="181" spans="1:8" ht="30.5" customHeight="1" x14ac:dyDescent="0.35">
      <c r="A181" s="7" t="str">
        <f t="shared" si="4"/>
        <v xml:space="preserve">26.8 </v>
      </c>
      <c r="B181" t="str">
        <f t="shared" si="5"/>
        <v>FAILED</v>
      </c>
      <c r="C181" s="15" t="s">
        <v>314</v>
      </c>
      <c r="D181" s="7" t="s">
        <v>363</v>
      </c>
      <c r="E181" s="7" t="s">
        <v>355</v>
      </c>
      <c r="F181" s="7" t="s">
        <v>362</v>
      </c>
      <c r="G181" s="17">
        <v>26</v>
      </c>
      <c r="H181" s="17">
        <v>8</v>
      </c>
    </row>
    <row r="182" spans="1:8" ht="17" hidden="1" customHeight="1" x14ac:dyDescent="0.35">
      <c r="A182" s="7" t="str">
        <f t="shared" si="4"/>
        <v xml:space="preserve">26.9 </v>
      </c>
      <c r="B182" t="str">
        <f t="shared" si="5"/>
        <v>PASSED</v>
      </c>
      <c r="C182" s="15" t="s">
        <v>38</v>
      </c>
      <c r="G182" s="19">
        <v>26</v>
      </c>
      <c r="H182" s="17">
        <v>9</v>
      </c>
    </row>
    <row r="183" spans="1:8" ht="17" hidden="1" customHeight="1" x14ac:dyDescent="0.35">
      <c r="A183" s="7" t="str">
        <f t="shared" si="4"/>
        <v xml:space="preserve">34.1 </v>
      </c>
      <c r="B183" t="str">
        <f t="shared" si="5"/>
        <v>PASSED</v>
      </c>
      <c r="C183" s="15" t="s">
        <v>87</v>
      </c>
      <c r="G183" s="19">
        <v>34</v>
      </c>
      <c r="H183" s="17">
        <v>1</v>
      </c>
    </row>
    <row r="184" spans="1:8" ht="17" hidden="1" customHeight="1" x14ac:dyDescent="0.35">
      <c r="A184" s="7" t="str">
        <f t="shared" si="4"/>
        <v xml:space="preserve">34.2 </v>
      </c>
      <c r="B184" t="str">
        <f t="shared" si="5"/>
        <v>PASSED</v>
      </c>
      <c r="C184" s="15" t="s">
        <v>248</v>
      </c>
      <c r="G184" s="17">
        <v>34</v>
      </c>
      <c r="H184" s="17">
        <v>2</v>
      </c>
    </row>
    <row r="185" spans="1:8" ht="17" hidden="1" customHeight="1" x14ac:dyDescent="0.35">
      <c r="A185" s="7" t="str">
        <f t="shared" si="4"/>
        <v xml:space="preserve">34.4 </v>
      </c>
      <c r="B185" t="str">
        <f t="shared" si="5"/>
        <v>PASSED</v>
      </c>
      <c r="C185" s="15" t="s">
        <v>251</v>
      </c>
      <c r="G185" s="17">
        <v>34</v>
      </c>
      <c r="H185" s="17">
        <v>4</v>
      </c>
    </row>
    <row r="186" spans="1:8" ht="17" hidden="1" customHeight="1" x14ac:dyDescent="0.35">
      <c r="A186" s="7" t="str">
        <f t="shared" si="4"/>
        <v xml:space="preserve">34.5 </v>
      </c>
      <c r="B186" t="str">
        <f t="shared" si="5"/>
        <v>PASSED</v>
      </c>
      <c r="C186" s="15" t="s">
        <v>299</v>
      </c>
      <c r="G186" s="17">
        <v>34</v>
      </c>
      <c r="H186" s="17">
        <v>5</v>
      </c>
    </row>
    <row r="187" spans="1:8" ht="17" hidden="1" customHeight="1" x14ac:dyDescent="0.35">
      <c r="A187" s="7" t="str">
        <f t="shared" si="4"/>
        <v xml:space="preserve">38.1 </v>
      </c>
      <c r="B187" t="str">
        <f t="shared" si="5"/>
        <v>PASSED</v>
      </c>
      <c r="C187" s="15" t="s">
        <v>93</v>
      </c>
      <c r="G187" s="19">
        <v>38</v>
      </c>
      <c r="H187" s="17">
        <v>1</v>
      </c>
    </row>
    <row r="188" spans="1:8" ht="17" hidden="1" customHeight="1" x14ac:dyDescent="0.35">
      <c r="A188" s="7" t="str">
        <f t="shared" si="4"/>
        <v xml:space="preserve">38.2 </v>
      </c>
      <c r="B188" t="str">
        <f t="shared" si="5"/>
        <v>PASSED</v>
      </c>
      <c r="C188" s="15" t="s">
        <v>77</v>
      </c>
      <c r="G188" s="19">
        <v>38</v>
      </c>
      <c r="H188" s="17">
        <v>2</v>
      </c>
    </row>
    <row r="189" spans="1:8" ht="17" hidden="1" customHeight="1" x14ac:dyDescent="0.35">
      <c r="A189" s="7" t="str">
        <f t="shared" si="4"/>
        <v xml:space="preserve">38.3 </v>
      </c>
      <c r="B189" t="str">
        <f t="shared" si="5"/>
        <v>PASSED</v>
      </c>
      <c r="C189" s="15" t="s">
        <v>218</v>
      </c>
      <c r="G189" s="17">
        <v>38</v>
      </c>
      <c r="H189" s="17">
        <v>3</v>
      </c>
    </row>
    <row r="190" spans="1:8" ht="17" hidden="1" customHeight="1" x14ac:dyDescent="0.35">
      <c r="A190" s="7" t="str">
        <f t="shared" si="4"/>
        <v xml:space="preserve">38.4 </v>
      </c>
      <c r="B190" t="str">
        <f t="shared" si="5"/>
        <v>PASSED</v>
      </c>
      <c r="C190" s="15" t="s">
        <v>283</v>
      </c>
      <c r="G190" s="17">
        <v>38</v>
      </c>
      <c r="H190" s="17">
        <v>4</v>
      </c>
    </row>
    <row r="191" spans="1:8" ht="17" hidden="1" customHeight="1" x14ac:dyDescent="0.35">
      <c r="A191" s="7" t="str">
        <f t="shared" si="4"/>
        <v xml:space="preserve">38.5 </v>
      </c>
      <c r="B191" t="str">
        <f t="shared" si="5"/>
        <v>PASSED</v>
      </c>
      <c r="C191" s="15" t="s">
        <v>81</v>
      </c>
      <c r="G191" s="19">
        <v>38</v>
      </c>
      <c r="H191" s="17">
        <v>5</v>
      </c>
    </row>
    <row r="192" spans="1:8" ht="17" hidden="1" customHeight="1" x14ac:dyDescent="0.35">
      <c r="A192" s="7" t="str">
        <f t="shared" si="4"/>
        <v xml:space="preserve">38.6 </v>
      </c>
      <c r="B192" t="str">
        <f t="shared" si="5"/>
        <v>PASSED</v>
      </c>
      <c r="C192" s="15" t="s">
        <v>91</v>
      </c>
      <c r="G192" s="19">
        <v>38</v>
      </c>
      <c r="H192" s="17">
        <v>6</v>
      </c>
    </row>
    <row r="193" spans="1:8" ht="17" hidden="1" customHeight="1" x14ac:dyDescent="0.35">
      <c r="A193" s="7" t="str">
        <f t="shared" si="4"/>
        <v xml:space="preserve">38.7 </v>
      </c>
      <c r="B193" t="str">
        <f t="shared" si="5"/>
        <v>PASSED</v>
      </c>
      <c r="C193" s="15" t="s">
        <v>74</v>
      </c>
      <c r="G193" s="19">
        <v>38</v>
      </c>
      <c r="H193" s="17">
        <v>7</v>
      </c>
    </row>
    <row r="194" spans="1:8" ht="17" hidden="1" customHeight="1" x14ac:dyDescent="0.35">
      <c r="A194" s="7" t="str">
        <f t="shared" si="4"/>
        <v xml:space="preserve">38.8 </v>
      </c>
      <c r="B194" t="str">
        <f t="shared" si="5"/>
        <v>PASSED</v>
      </c>
      <c r="C194" s="15" t="s">
        <v>234</v>
      </c>
      <c r="G194" s="17">
        <v>38</v>
      </c>
      <c r="H194" s="17">
        <v>8</v>
      </c>
    </row>
    <row r="195" spans="1:8" ht="17" hidden="1" customHeight="1" x14ac:dyDescent="0.35">
      <c r="A195" s="7" t="str">
        <f t="shared" si="4"/>
        <v xml:space="preserve">38.9 </v>
      </c>
      <c r="B195" t="str">
        <f t="shared" si="5"/>
        <v>PASSED</v>
      </c>
      <c r="C195" s="15" t="s">
        <v>66</v>
      </c>
      <c r="G195" s="19">
        <v>38</v>
      </c>
      <c r="H195" s="17">
        <v>9</v>
      </c>
    </row>
    <row r="196" spans="1:8" ht="17" hidden="1" customHeight="1" x14ac:dyDescent="0.35">
      <c r="A196" s="7" t="str">
        <f t="shared" si="4"/>
        <v xml:space="preserve">38.10 </v>
      </c>
      <c r="B196" t="str">
        <f t="shared" si="5"/>
        <v>PASSED</v>
      </c>
      <c r="C196" s="15" t="s">
        <v>279</v>
      </c>
      <c r="G196" s="17">
        <v>38</v>
      </c>
      <c r="H196" s="17">
        <v>10</v>
      </c>
    </row>
    <row r="197" spans="1:8" ht="17" hidden="1" customHeight="1" x14ac:dyDescent="0.35">
      <c r="A197" s="7" t="str">
        <f t="shared" si="4"/>
        <v xml:space="preserve">38.11 </v>
      </c>
      <c r="B197" t="str">
        <f t="shared" si="5"/>
        <v>PASSED</v>
      </c>
      <c r="C197" s="15" t="s">
        <v>55</v>
      </c>
      <c r="G197" s="19">
        <v>38</v>
      </c>
      <c r="H197" s="17">
        <v>11</v>
      </c>
    </row>
    <row r="198" spans="1:8" ht="17" hidden="1" customHeight="1" x14ac:dyDescent="0.35">
      <c r="A198" s="7" t="str">
        <f t="shared" si="4"/>
        <v xml:space="preserve">38.12 </v>
      </c>
      <c r="B198" t="str">
        <f t="shared" si="5"/>
        <v>PASSED</v>
      </c>
      <c r="C198" s="15" t="s">
        <v>264</v>
      </c>
      <c r="G198" s="17">
        <v>38</v>
      </c>
      <c r="H198" s="17">
        <v>12</v>
      </c>
    </row>
    <row r="199" spans="1:8" ht="17" hidden="1" customHeight="1" x14ac:dyDescent="0.35">
      <c r="A199" s="7" t="str">
        <f t="shared" ref="A199:A262" si="6">MID(C199,2,FIND(")",C199,1)-5)</f>
        <v xml:space="preserve">38.13 </v>
      </c>
      <c r="B199" t="str">
        <f t="shared" ref="B199:B262" si="7">IF(ISNUMBER(FIND("[PASSED]",C199,1)),"PASSED","FAILED")</f>
        <v>PASSED</v>
      </c>
      <c r="C199" s="15" t="s">
        <v>233</v>
      </c>
      <c r="G199" s="17">
        <v>38</v>
      </c>
      <c r="H199" s="17">
        <v>13</v>
      </c>
    </row>
    <row r="200" spans="1:8" ht="17" hidden="1" customHeight="1" x14ac:dyDescent="0.35">
      <c r="A200" s="7" t="str">
        <f t="shared" si="6"/>
        <v xml:space="preserve">38.14 </v>
      </c>
      <c r="B200" t="str">
        <f t="shared" si="7"/>
        <v>PASSED</v>
      </c>
      <c r="C200" s="15" t="s">
        <v>305</v>
      </c>
      <c r="G200" s="17">
        <v>38</v>
      </c>
      <c r="H200" s="17">
        <v>14</v>
      </c>
    </row>
    <row r="201" spans="1:8" ht="17" hidden="1" customHeight="1" x14ac:dyDescent="0.35">
      <c r="A201" s="7" t="str">
        <f t="shared" si="6"/>
        <v xml:space="preserve">38.15 </v>
      </c>
      <c r="B201" t="str">
        <f t="shared" si="7"/>
        <v>PASSED</v>
      </c>
      <c r="C201" s="15" t="s">
        <v>322</v>
      </c>
      <c r="G201" s="17">
        <v>38</v>
      </c>
      <c r="H201" s="17">
        <v>15</v>
      </c>
    </row>
    <row r="202" spans="1:8" ht="17" hidden="1" customHeight="1" x14ac:dyDescent="0.35">
      <c r="A202" s="7" t="str">
        <f t="shared" si="6"/>
        <v xml:space="preserve">38.16 </v>
      </c>
      <c r="B202" t="str">
        <f t="shared" si="7"/>
        <v>PASSED</v>
      </c>
      <c r="C202" s="15" t="s">
        <v>148</v>
      </c>
      <c r="G202" s="17">
        <v>38</v>
      </c>
      <c r="H202" s="17">
        <v>16</v>
      </c>
    </row>
    <row r="203" spans="1:8" ht="17" hidden="1" customHeight="1" x14ac:dyDescent="0.35">
      <c r="A203" s="7" t="str">
        <f t="shared" si="6"/>
        <v xml:space="preserve">38.17 </v>
      </c>
      <c r="B203" t="str">
        <f t="shared" si="7"/>
        <v>PASSED</v>
      </c>
      <c r="C203" s="15" t="s">
        <v>11</v>
      </c>
      <c r="G203" s="19">
        <v>38</v>
      </c>
      <c r="H203" s="17">
        <v>17</v>
      </c>
    </row>
    <row r="204" spans="1:8" ht="17" hidden="1" customHeight="1" x14ac:dyDescent="0.35">
      <c r="A204" s="7" t="str">
        <f t="shared" si="6"/>
        <v xml:space="preserve">38.18 </v>
      </c>
      <c r="B204" t="str">
        <f t="shared" si="7"/>
        <v>PASSED</v>
      </c>
      <c r="C204" s="15" t="s">
        <v>115</v>
      </c>
      <c r="G204" s="17">
        <v>38</v>
      </c>
      <c r="H204" s="17">
        <v>18</v>
      </c>
    </row>
    <row r="205" spans="1:8" ht="17" hidden="1" customHeight="1" x14ac:dyDescent="0.35">
      <c r="A205" s="7" t="str">
        <f t="shared" si="6"/>
        <v xml:space="preserve">38.19 </v>
      </c>
      <c r="B205" t="str">
        <f t="shared" si="7"/>
        <v>PASSED</v>
      </c>
      <c r="C205" s="15" t="s">
        <v>275</v>
      </c>
      <c r="G205" s="17">
        <v>38</v>
      </c>
      <c r="H205" s="17">
        <v>19</v>
      </c>
    </row>
    <row r="206" spans="1:8" ht="17" hidden="1" customHeight="1" x14ac:dyDescent="0.35">
      <c r="A206" s="7" t="str">
        <f t="shared" si="6"/>
        <v xml:space="preserve">38.20 </v>
      </c>
      <c r="B206" t="str">
        <f t="shared" si="7"/>
        <v>PASSED</v>
      </c>
      <c r="C206" s="15" t="s">
        <v>138</v>
      </c>
      <c r="G206" s="17">
        <v>38</v>
      </c>
      <c r="H206" s="17">
        <v>20</v>
      </c>
    </row>
    <row r="207" spans="1:8" ht="17" hidden="1" customHeight="1" x14ac:dyDescent="0.35">
      <c r="A207" s="7" t="str">
        <f t="shared" si="6"/>
        <v xml:space="preserve">38.21 </v>
      </c>
      <c r="B207" t="str">
        <f t="shared" si="7"/>
        <v>PASSED</v>
      </c>
      <c r="C207" s="15" t="s">
        <v>304</v>
      </c>
      <c r="G207" s="17">
        <v>38</v>
      </c>
      <c r="H207" s="17">
        <v>21</v>
      </c>
    </row>
    <row r="208" spans="1:8" ht="17" hidden="1" customHeight="1" x14ac:dyDescent="0.35">
      <c r="A208" s="7" t="str">
        <f t="shared" si="6"/>
        <v xml:space="preserve">38.22 </v>
      </c>
      <c r="B208" t="str">
        <f t="shared" si="7"/>
        <v>PASSED</v>
      </c>
      <c r="C208" s="15" t="s">
        <v>88</v>
      </c>
      <c r="G208" s="19">
        <v>38</v>
      </c>
      <c r="H208" s="17">
        <v>22</v>
      </c>
    </row>
    <row r="209" spans="1:8" ht="17" hidden="1" customHeight="1" x14ac:dyDescent="0.35">
      <c r="A209" s="7" t="str">
        <f t="shared" si="6"/>
        <v xml:space="preserve">38.23 </v>
      </c>
      <c r="B209" t="str">
        <f t="shared" si="7"/>
        <v>PASSED</v>
      </c>
      <c r="C209" s="15" t="s">
        <v>159</v>
      </c>
      <c r="G209" s="17">
        <v>38</v>
      </c>
      <c r="H209" s="17">
        <v>23</v>
      </c>
    </row>
    <row r="210" spans="1:8" ht="17" hidden="1" customHeight="1" x14ac:dyDescent="0.35">
      <c r="A210" s="7" t="str">
        <f t="shared" si="6"/>
        <v xml:space="preserve">46.1 </v>
      </c>
      <c r="B210" t="str">
        <f t="shared" si="7"/>
        <v>PASSED</v>
      </c>
      <c r="C210" s="15" t="s">
        <v>216</v>
      </c>
      <c r="G210" s="17">
        <v>46</v>
      </c>
      <c r="H210" s="17">
        <v>1</v>
      </c>
    </row>
    <row r="211" spans="1:8" ht="17" hidden="1" customHeight="1" x14ac:dyDescent="0.35">
      <c r="A211" s="7" t="str">
        <f t="shared" si="6"/>
        <v xml:space="preserve">49.1 </v>
      </c>
      <c r="B211" t="str">
        <f t="shared" si="7"/>
        <v>PASSED</v>
      </c>
      <c r="C211" s="15" t="s">
        <v>213</v>
      </c>
      <c r="G211" s="17">
        <v>49</v>
      </c>
      <c r="H211" s="17">
        <v>1</v>
      </c>
    </row>
    <row r="212" spans="1:8" ht="17" hidden="1" customHeight="1" x14ac:dyDescent="0.35">
      <c r="A212" s="7" t="str">
        <f t="shared" si="6"/>
        <v xml:space="preserve">49.2 </v>
      </c>
      <c r="B212" t="str">
        <f t="shared" si="7"/>
        <v>PASSED</v>
      </c>
      <c r="C212" s="15" t="s">
        <v>10</v>
      </c>
      <c r="G212" s="19">
        <v>49</v>
      </c>
      <c r="H212" s="17">
        <v>2</v>
      </c>
    </row>
    <row r="213" spans="1:8" ht="17" hidden="1" customHeight="1" x14ac:dyDescent="0.35">
      <c r="A213" s="7" t="str">
        <f t="shared" si="6"/>
        <v xml:space="preserve">49.3 </v>
      </c>
      <c r="B213" t="str">
        <f t="shared" si="7"/>
        <v>PASSED</v>
      </c>
      <c r="C213" s="15" t="s">
        <v>23</v>
      </c>
      <c r="G213" s="19">
        <v>49</v>
      </c>
      <c r="H213" s="17">
        <v>3</v>
      </c>
    </row>
    <row r="214" spans="1:8" ht="17" hidden="1" customHeight="1" x14ac:dyDescent="0.35">
      <c r="A214" s="7" t="str">
        <f t="shared" si="6"/>
        <v xml:space="preserve">49.4 </v>
      </c>
      <c r="B214" t="str">
        <f t="shared" si="7"/>
        <v>PASSED</v>
      </c>
      <c r="C214" s="15" t="s">
        <v>215</v>
      </c>
      <c r="G214" s="17">
        <v>49</v>
      </c>
      <c r="H214" s="17">
        <v>4</v>
      </c>
    </row>
    <row r="215" spans="1:8" ht="30.5" customHeight="1" x14ac:dyDescent="0.35">
      <c r="A215" s="7" t="str">
        <f t="shared" si="6"/>
        <v xml:space="preserve">49.6 </v>
      </c>
      <c r="B215" t="str">
        <f t="shared" si="7"/>
        <v>FAILED</v>
      </c>
      <c r="C215" s="15" t="s">
        <v>230</v>
      </c>
      <c r="D215" s="7" t="s">
        <v>368</v>
      </c>
      <c r="E215" s="7" t="s">
        <v>355</v>
      </c>
      <c r="F215" s="7" t="s">
        <v>362</v>
      </c>
      <c r="G215" s="17">
        <v>49</v>
      </c>
      <c r="H215" s="17">
        <v>6</v>
      </c>
    </row>
    <row r="216" spans="1:8" ht="30.5" customHeight="1" x14ac:dyDescent="0.35">
      <c r="A216" s="7" t="str">
        <f t="shared" si="6"/>
        <v xml:space="preserve">49.7 </v>
      </c>
      <c r="B216" t="str">
        <f t="shared" si="7"/>
        <v>FAILED</v>
      </c>
      <c r="C216" s="15" t="s">
        <v>198</v>
      </c>
      <c r="D216" s="7" t="s">
        <v>369</v>
      </c>
      <c r="E216" s="7" t="s">
        <v>355</v>
      </c>
      <c r="F216" s="7" t="s">
        <v>362</v>
      </c>
      <c r="G216" s="17">
        <v>49</v>
      </c>
      <c r="H216" s="17">
        <v>7</v>
      </c>
    </row>
    <row r="217" spans="1:8" ht="30.5" customHeight="1" x14ac:dyDescent="0.35">
      <c r="A217" s="7" t="str">
        <f t="shared" si="6"/>
        <v xml:space="preserve">49.8 </v>
      </c>
      <c r="B217" t="str">
        <f t="shared" si="7"/>
        <v>FAILED</v>
      </c>
      <c r="C217" s="15" t="s">
        <v>227</v>
      </c>
      <c r="D217" s="7" t="s">
        <v>370</v>
      </c>
      <c r="E217" s="7" t="s">
        <v>355</v>
      </c>
      <c r="F217" s="7" t="s">
        <v>362</v>
      </c>
      <c r="G217" s="17">
        <v>49</v>
      </c>
      <c r="H217" s="17">
        <v>8</v>
      </c>
    </row>
    <row r="218" spans="1:8" ht="17" hidden="1" customHeight="1" x14ac:dyDescent="0.35">
      <c r="A218" s="7" t="str">
        <f t="shared" si="6"/>
        <v xml:space="preserve">49.9 </v>
      </c>
      <c r="B218" t="str">
        <f t="shared" si="7"/>
        <v>PASSED</v>
      </c>
      <c r="C218" s="15" t="s">
        <v>68</v>
      </c>
      <c r="G218" s="19">
        <v>49</v>
      </c>
      <c r="H218" s="17">
        <v>9</v>
      </c>
    </row>
    <row r="219" spans="1:8" ht="17" hidden="1" customHeight="1" x14ac:dyDescent="0.35">
      <c r="A219" s="7" t="str">
        <f t="shared" si="6"/>
        <v xml:space="preserve">49.10 </v>
      </c>
      <c r="B219" t="str">
        <f t="shared" si="7"/>
        <v>PASSED</v>
      </c>
      <c r="C219" s="15" t="s">
        <v>145</v>
      </c>
      <c r="G219" s="17">
        <v>49</v>
      </c>
      <c r="H219" s="17">
        <v>10</v>
      </c>
    </row>
    <row r="220" spans="1:8" ht="30.5" customHeight="1" x14ac:dyDescent="0.35">
      <c r="A220" s="7" t="str">
        <f t="shared" si="6"/>
        <v xml:space="preserve">49.11 </v>
      </c>
      <c r="B220" t="str">
        <f t="shared" si="7"/>
        <v>FAILED</v>
      </c>
      <c r="C220" s="15" t="s">
        <v>329</v>
      </c>
      <c r="D220" s="7" t="s">
        <v>371</v>
      </c>
      <c r="E220" s="7" t="s">
        <v>355</v>
      </c>
      <c r="F220" s="7" t="s">
        <v>360</v>
      </c>
      <c r="G220" s="17">
        <v>49</v>
      </c>
      <c r="H220" s="17">
        <v>11</v>
      </c>
    </row>
    <row r="221" spans="1:8" ht="17" hidden="1" customHeight="1" x14ac:dyDescent="0.35">
      <c r="A221" s="7" t="str">
        <f t="shared" si="6"/>
        <v xml:space="preserve">49.12 </v>
      </c>
      <c r="B221" t="str">
        <f t="shared" si="7"/>
        <v>PASSED</v>
      </c>
      <c r="C221" s="15" t="s">
        <v>285</v>
      </c>
      <c r="G221" s="17">
        <v>49</v>
      </c>
      <c r="H221" s="17">
        <v>12</v>
      </c>
    </row>
    <row r="222" spans="1:8" ht="17" hidden="1" customHeight="1" x14ac:dyDescent="0.35">
      <c r="A222" s="7" t="str">
        <f t="shared" si="6"/>
        <v xml:space="preserve">49.13 </v>
      </c>
      <c r="B222" t="str">
        <f t="shared" si="7"/>
        <v>PASSED</v>
      </c>
      <c r="C222" s="15" t="s">
        <v>254</v>
      </c>
      <c r="G222" s="17">
        <v>49</v>
      </c>
      <c r="H222" s="17">
        <v>13</v>
      </c>
    </row>
    <row r="223" spans="1:8" ht="17" hidden="1" customHeight="1" x14ac:dyDescent="0.35">
      <c r="A223" s="7" t="str">
        <f t="shared" si="6"/>
        <v xml:space="preserve">49.14 </v>
      </c>
      <c r="B223" t="str">
        <f t="shared" si="7"/>
        <v>PASSED</v>
      </c>
      <c r="C223" s="15" t="s">
        <v>47</v>
      </c>
      <c r="G223" s="19">
        <v>49</v>
      </c>
      <c r="H223" s="17">
        <v>14</v>
      </c>
    </row>
    <row r="224" spans="1:8" ht="17" hidden="1" customHeight="1" x14ac:dyDescent="0.35">
      <c r="A224" s="7" t="str">
        <f t="shared" si="6"/>
        <v xml:space="preserve">49.15 </v>
      </c>
      <c r="B224" t="str">
        <f t="shared" si="7"/>
        <v>PASSED</v>
      </c>
      <c r="C224" s="15" t="s">
        <v>137</v>
      </c>
      <c r="G224" s="17">
        <v>49</v>
      </c>
      <c r="H224" s="17">
        <v>15</v>
      </c>
    </row>
    <row r="225" spans="1:8" ht="17" hidden="1" customHeight="1" x14ac:dyDescent="0.35">
      <c r="A225" s="7" t="str">
        <f t="shared" si="6"/>
        <v xml:space="preserve">49.16 </v>
      </c>
      <c r="B225" t="str">
        <f t="shared" si="7"/>
        <v>PASSED</v>
      </c>
      <c r="C225" s="15" t="s">
        <v>224</v>
      </c>
      <c r="G225" s="17">
        <v>49</v>
      </c>
      <c r="H225" s="17">
        <v>16</v>
      </c>
    </row>
    <row r="226" spans="1:8" ht="17" hidden="1" customHeight="1" x14ac:dyDescent="0.35">
      <c r="A226" s="7" t="str">
        <f t="shared" si="6"/>
        <v xml:space="preserve">49.17 </v>
      </c>
      <c r="B226" t="str">
        <f t="shared" si="7"/>
        <v>PASSED</v>
      </c>
      <c r="C226" s="15" t="s">
        <v>170</v>
      </c>
      <c r="G226" s="17">
        <v>49</v>
      </c>
      <c r="H226" s="17">
        <v>17</v>
      </c>
    </row>
    <row r="227" spans="1:8" ht="17" hidden="1" customHeight="1" x14ac:dyDescent="0.35">
      <c r="A227" s="7" t="str">
        <f t="shared" si="6"/>
        <v xml:space="preserve">49.18 </v>
      </c>
      <c r="B227" t="str">
        <f t="shared" si="7"/>
        <v>PASSED</v>
      </c>
      <c r="C227" s="15" t="s">
        <v>171</v>
      </c>
      <c r="G227" s="17">
        <v>49</v>
      </c>
      <c r="H227" s="17">
        <v>18</v>
      </c>
    </row>
    <row r="228" spans="1:8" ht="17" hidden="1" customHeight="1" x14ac:dyDescent="0.35">
      <c r="A228" s="7" t="str">
        <f t="shared" si="6"/>
        <v xml:space="preserve">49.19 </v>
      </c>
      <c r="B228" t="str">
        <f t="shared" si="7"/>
        <v>PASSED</v>
      </c>
      <c r="C228" s="15" t="s">
        <v>206</v>
      </c>
      <c r="G228" s="17">
        <v>49</v>
      </c>
      <c r="H228" s="17">
        <v>19</v>
      </c>
    </row>
    <row r="229" spans="1:8" ht="17" hidden="1" customHeight="1" x14ac:dyDescent="0.35">
      <c r="A229" s="7" t="str">
        <f t="shared" si="6"/>
        <v xml:space="preserve">49.20 </v>
      </c>
      <c r="B229" t="str">
        <f t="shared" si="7"/>
        <v>PASSED</v>
      </c>
      <c r="C229" s="15" t="s">
        <v>221</v>
      </c>
      <c r="G229" s="17">
        <v>49</v>
      </c>
      <c r="H229" s="17">
        <v>20</v>
      </c>
    </row>
    <row r="230" spans="1:8" ht="17" hidden="1" customHeight="1" x14ac:dyDescent="0.35">
      <c r="A230" s="7" t="str">
        <f t="shared" si="6"/>
        <v xml:space="preserve">49.21 </v>
      </c>
      <c r="B230" t="str">
        <f t="shared" si="7"/>
        <v>PASSED</v>
      </c>
      <c r="C230" s="15" t="s">
        <v>128</v>
      </c>
      <c r="G230" s="17">
        <v>49</v>
      </c>
      <c r="H230" s="17">
        <v>21</v>
      </c>
    </row>
    <row r="231" spans="1:8" ht="17" hidden="1" customHeight="1" x14ac:dyDescent="0.35">
      <c r="A231" s="7" t="str">
        <f t="shared" si="6"/>
        <v xml:space="preserve">49.22 </v>
      </c>
      <c r="B231" t="str">
        <f t="shared" si="7"/>
        <v>PASSED</v>
      </c>
      <c r="C231" s="15" t="s">
        <v>154</v>
      </c>
      <c r="G231" s="17">
        <v>49</v>
      </c>
      <c r="H231" s="17">
        <v>22</v>
      </c>
    </row>
    <row r="232" spans="1:8" ht="17" hidden="1" customHeight="1" x14ac:dyDescent="0.35">
      <c r="A232" s="7" t="str">
        <f t="shared" si="6"/>
        <v xml:space="preserve">49.23 </v>
      </c>
      <c r="B232" t="str">
        <f t="shared" si="7"/>
        <v>PASSED</v>
      </c>
      <c r="C232" s="15" t="s">
        <v>58</v>
      </c>
      <c r="G232" s="19">
        <v>49</v>
      </c>
      <c r="H232" s="17">
        <v>23</v>
      </c>
    </row>
    <row r="233" spans="1:8" ht="17" hidden="1" customHeight="1" x14ac:dyDescent="0.35">
      <c r="A233" s="7" t="str">
        <f t="shared" si="6"/>
        <v xml:space="preserve">49.24 </v>
      </c>
      <c r="B233" t="str">
        <f t="shared" si="7"/>
        <v>PASSED</v>
      </c>
      <c r="C233" s="15" t="s">
        <v>69</v>
      </c>
      <c r="G233" s="19">
        <v>49</v>
      </c>
      <c r="H233" s="17">
        <v>24</v>
      </c>
    </row>
    <row r="234" spans="1:8" ht="17" hidden="1" customHeight="1" x14ac:dyDescent="0.35">
      <c r="A234" s="7" t="str">
        <f t="shared" si="6"/>
        <v xml:space="preserve">49.25 </v>
      </c>
      <c r="B234" t="str">
        <f t="shared" si="7"/>
        <v>PASSED</v>
      </c>
      <c r="C234" s="15" t="s">
        <v>334</v>
      </c>
      <c r="G234" s="17">
        <v>49</v>
      </c>
      <c r="H234" s="17">
        <v>25</v>
      </c>
    </row>
    <row r="235" spans="1:8" ht="17" hidden="1" customHeight="1" x14ac:dyDescent="0.35">
      <c r="A235" s="7" t="str">
        <f t="shared" si="6"/>
        <v xml:space="preserve">49.26 </v>
      </c>
      <c r="B235" t="str">
        <f t="shared" si="7"/>
        <v>PASSED</v>
      </c>
      <c r="C235" s="15" t="s">
        <v>57</v>
      </c>
      <c r="G235" s="19">
        <v>49</v>
      </c>
      <c r="H235" s="17">
        <v>26</v>
      </c>
    </row>
    <row r="236" spans="1:8" ht="17" hidden="1" customHeight="1" x14ac:dyDescent="0.35">
      <c r="A236" s="7" t="str">
        <f t="shared" si="6"/>
        <v xml:space="preserve">49.27 </v>
      </c>
      <c r="B236" t="str">
        <f t="shared" si="7"/>
        <v>PASSED</v>
      </c>
      <c r="C236" s="15" t="s">
        <v>178</v>
      </c>
      <c r="G236" s="17">
        <v>49</v>
      </c>
      <c r="H236" s="17">
        <v>27</v>
      </c>
    </row>
    <row r="237" spans="1:8" ht="17" hidden="1" customHeight="1" x14ac:dyDescent="0.35">
      <c r="A237" s="7" t="str">
        <f t="shared" si="6"/>
        <v xml:space="preserve">49.28 </v>
      </c>
      <c r="B237" t="str">
        <f t="shared" si="7"/>
        <v>PASSED</v>
      </c>
      <c r="C237" s="15" t="s">
        <v>131</v>
      </c>
      <c r="G237" s="17">
        <v>49</v>
      </c>
      <c r="H237" s="17">
        <v>28</v>
      </c>
    </row>
    <row r="238" spans="1:8" ht="30.5" customHeight="1" x14ac:dyDescent="0.35">
      <c r="A238" s="7" t="str">
        <f t="shared" si="6"/>
        <v xml:space="preserve">49.29 </v>
      </c>
      <c r="B238" t="str">
        <f t="shared" si="7"/>
        <v>FAILED</v>
      </c>
      <c r="C238" s="15" t="s">
        <v>317</v>
      </c>
      <c r="D238" s="7" t="s">
        <v>372</v>
      </c>
      <c r="E238" s="7" t="s">
        <v>355</v>
      </c>
      <c r="F238" s="7" t="s">
        <v>362</v>
      </c>
      <c r="G238" s="17">
        <v>49</v>
      </c>
      <c r="H238" s="17">
        <v>29</v>
      </c>
    </row>
    <row r="239" spans="1:8" ht="17" hidden="1" customHeight="1" x14ac:dyDescent="0.35">
      <c r="A239" s="7" t="str">
        <f t="shared" si="6"/>
        <v xml:space="preserve">49.30 </v>
      </c>
      <c r="B239" t="str">
        <f t="shared" si="7"/>
        <v>PASSED</v>
      </c>
      <c r="C239" s="15" t="s">
        <v>226</v>
      </c>
      <c r="G239" s="17">
        <v>49</v>
      </c>
      <c r="H239" s="17">
        <v>30</v>
      </c>
    </row>
    <row r="240" spans="1:8" ht="17" hidden="1" customHeight="1" x14ac:dyDescent="0.35">
      <c r="A240" s="7" t="str">
        <f t="shared" si="6"/>
        <v xml:space="preserve">49.31 </v>
      </c>
      <c r="B240" t="str">
        <f t="shared" si="7"/>
        <v>PASSED</v>
      </c>
      <c r="C240" s="15" t="s">
        <v>244</v>
      </c>
      <c r="G240" s="17">
        <v>49</v>
      </c>
      <c r="H240" s="17">
        <v>31</v>
      </c>
    </row>
    <row r="241" spans="1:9" ht="17" hidden="1" customHeight="1" x14ac:dyDescent="0.35">
      <c r="A241" s="7" t="str">
        <f t="shared" si="6"/>
        <v xml:space="preserve">49.32 </v>
      </c>
      <c r="B241" t="str">
        <f t="shared" si="7"/>
        <v>PASSED</v>
      </c>
      <c r="C241" s="15" t="s">
        <v>183</v>
      </c>
      <c r="G241" s="17">
        <v>49</v>
      </c>
      <c r="H241" s="17">
        <v>32</v>
      </c>
    </row>
    <row r="242" spans="1:9" ht="17" hidden="1" customHeight="1" x14ac:dyDescent="0.35">
      <c r="A242" s="7" t="str">
        <f t="shared" si="6"/>
        <v xml:space="preserve">49.33 </v>
      </c>
      <c r="B242" t="str">
        <f t="shared" si="7"/>
        <v>PASSED</v>
      </c>
      <c r="C242" s="15" t="s">
        <v>261</v>
      </c>
      <c r="G242" s="17">
        <v>49</v>
      </c>
      <c r="H242" s="17">
        <v>33</v>
      </c>
    </row>
    <row r="243" spans="1:9" ht="17" hidden="1" customHeight="1" x14ac:dyDescent="0.35">
      <c r="A243" s="7" t="str">
        <f t="shared" si="6"/>
        <v xml:space="preserve">49.34 </v>
      </c>
      <c r="B243" t="str">
        <f t="shared" si="7"/>
        <v>PASSED</v>
      </c>
      <c r="C243" s="15" t="s">
        <v>205</v>
      </c>
      <c r="G243" s="17">
        <v>49</v>
      </c>
      <c r="H243" s="17">
        <v>34</v>
      </c>
    </row>
    <row r="244" spans="1:9" ht="17" hidden="1" customHeight="1" x14ac:dyDescent="0.35">
      <c r="A244" s="7" t="str">
        <f t="shared" si="6"/>
        <v xml:space="preserve">49.35 </v>
      </c>
      <c r="B244" t="str">
        <f t="shared" si="7"/>
        <v>PASSED</v>
      </c>
      <c r="C244" s="15" t="s">
        <v>98</v>
      </c>
      <c r="G244" s="19">
        <v>49</v>
      </c>
      <c r="H244" s="17">
        <v>35</v>
      </c>
    </row>
    <row r="245" spans="1:9" ht="17" hidden="1" customHeight="1" x14ac:dyDescent="0.35">
      <c r="A245" s="7" t="str">
        <f t="shared" si="6"/>
        <v xml:space="preserve">50.1 </v>
      </c>
      <c r="B245" t="str">
        <f t="shared" si="7"/>
        <v>PASSED</v>
      </c>
      <c r="C245" s="15" t="s">
        <v>25</v>
      </c>
      <c r="G245" s="19">
        <v>50</v>
      </c>
      <c r="H245" s="17">
        <v>1</v>
      </c>
    </row>
    <row r="246" spans="1:9" ht="17" hidden="1" customHeight="1" x14ac:dyDescent="0.35">
      <c r="A246" s="7" t="str">
        <f t="shared" si="6"/>
        <v xml:space="preserve">55.1 </v>
      </c>
      <c r="B246" t="str">
        <f t="shared" si="7"/>
        <v>PASSED</v>
      </c>
      <c r="C246" s="15" t="s">
        <v>147</v>
      </c>
      <c r="G246" s="17">
        <v>55</v>
      </c>
      <c r="H246" s="17">
        <v>1</v>
      </c>
    </row>
    <row r="247" spans="1:9" ht="17" hidden="1" customHeight="1" x14ac:dyDescent="0.35">
      <c r="A247" s="7" t="str">
        <f t="shared" si="6"/>
        <v xml:space="preserve">55.2 </v>
      </c>
      <c r="B247" t="str">
        <f t="shared" si="7"/>
        <v>PASSED</v>
      </c>
      <c r="C247" s="15" t="s">
        <v>180</v>
      </c>
      <c r="G247" s="17">
        <v>55</v>
      </c>
      <c r="H247" s="17">
        <v>2</v>
      </c>
    </row>
    <row r="248" spans="1:9" ht="30.5" customHeight="1" x14ac:dyDescent="0.35">
      <c r="A248" s="7" t="str">
        <f t="shared" si="6"/>
        <v xml:space="preserve">55.4 </v>
      </c>
      <c r="B248" t="str">
        <f t="shared" si="7"/>
        <v>FAILED</v>
      </c>
      <c r="C248" s="15" t="s">
        <v>253</v>
      </c>
      <c r="D248" s="7" t="s">
        <v>373</v>
      </c>
      <c r="E248" s="7" t="s">
        <v>355</v>
      </c>
      <c r="F248" s="7" t="s">
        <v>354</v>
      </c>
      <c r="G248" s="17">
        <v>55</v>
      </c>
      <c r="H248" s="17">
        <v>4</v>
      </c>
    </row>
    <row r="249" spans="1:9" ht="17" hidden="1" customHeight="1" x14ac:dyDescent="0.35">
      <c r="A249" s="7" t="str">
        <f t="shared" si="6"/>
        <v xml:space="preserve">55.6 </v>
      </c>
      <c r="B249" t="str">
        <f t="shared" si="7"/>
        <v>PASSED</v>
      </c>
      <c r="C249" s="15" t="s">
        <v>219</v>
      </c>
      <c r="G249" s="17">
        <v>55</v>
      </c>
      <c r="H249" s="17">
        <v>6</v>
      </c>
    </row>
    <row r="250" spans="1:9" ht="17" hidden="1" customHeight="1" x14ac:dyDescent="0.35">
      <c r="A250" s="7" t="str">
        <f t="shared" si="6"/>
        <v xml:space="preserve">55.7 </v>
      </c>
      <c r="B250" t="str">
        <f t="shared" si="7"/>
        <v>PASSED</v>
      </c>
      <c r="C250" s="15" t="s">
        <v>309</v>
      </c>
      <c r="G250" s="17">
        <v>55</v>
      </c>
      <c r="H250" s="17">
        <v>7</v>
      </c>
    </row>
    <row r="251" spans="1:9" ht="17" hidden="1" customHeight="1" x14ac:dyDescent="0.35">
      <c r="A251" s="7" t="str">
        <f t="shared" si="6"/>
        <v xml:space="preserve">55.8 </v>
      </c>
      <c r="B251" t="str">
        <f t="shared" si="7"/>
        <v>PASSED</v>
      </c>
      <c r="C251" s="15" t="s">
        <v>90</v>
      </c>
      <c r="G251" s="19">
        <v>55</v>
      </c>
      <c r="H251" s="17">
        <v>8</v>
      </c>
    </row>
    <row r="252" spans="1:9" ht="17" hidden="1" customHeight="1" x14ac:dyDescent="0.35">
      <c r="A252" s="7" t="str">
        <f t="shared" si="6"/>
        <v xml:space="preserve">68.2 </v>
      </c>
      <c r="B252" t="str">
        <f t="shared" si="7"/>
        <v>PASSED</v>
      </c>
      <c r="C252" s="15" t="s">
        <v>284</v>
      </c>
      <c r="G252" s="17">
        <v>68</v>
      </c>
      <c r="H252" s="17">
        <v>2</v>
      </c>
    </row>
    <row r="253" spans="1:9" ht="30.5" customHeight="1" x14ac:dyDescent="0.35">
      <c r="A253" s="7" t="str">
        <f t="shared" si="6"/>
        <v xml:space="preserve">68.4 </v>
      </c>
      <c r="B253" t="str">
        <f t="shared" si="7"/>
        <v>FAILED</v>
      </c>
      <c r="C253" s="15" t="s">
        <v>107</v>
      </c>
      <c r="D253" s="7" t="s">
        <v>374</v>
      </c>
      <c r="E253" s="7" t="s">
        <v>355</v>
      </c>
      <c r="F253" s="7" t="s">
        <v>360</v>
      </c>
      <c r="G253" s="19">
        <v>68</v>
      </c>
      <c r="H253" s="17">
        <v>4</v>
      </c>
    </row>
    <row r="254" spans="1:9" ht="30.5" customHeight="1" x14ac:dyDescent="0.35">
      <c r="A254" s="7" t="str">
        <f t="shared" si="6"/>
        <v xml:space="preserve">72.2 </v>
      </c>
      <c r="B254" t="str">
        <f t="shared" si="7"/>
        <v>FAILED</v>
      </c>
      <c r="C254" s="15" t="s">
        <v>186</v>
      </c>
      <c r="D254" s="7" t="s">
        <v>375</v>
      </c>
      <c r="E254" s="7" t="s">
        <v>355</v>
      </c>
      <c r="F254" s="7" t="s">
        <v>362</v>
      </c>
      <c r="G254" s="17">
        <v>72</v>
      </c>
      <c r="H254" s="17">
        <v>2</v>
      </c>
    </row>
    <row r="255" spans="1:9" ht="17" hidden="1" customHeight="1" x14ac:dyDescent="0.35">
      <c r="A255" s="7" t="str">
        <f t="shared" si="6"/>
        <v xml:space="preserve">72.3 </v>
      </c>
      <c r="B255" t="str">
        <f t="shared" si="7"/>
        <v>PASSED</v>
      </c>
      <c r="C255" s="15" t="s">
        <v>318</v>
      </c>
      <c r="G255" s="17">
        <v>72</v>
      </c>
      <c r="H255" s="17">
        <v>3</v>
      </c>
    </row>
    <row r="256" spans="1:9" ht="17" hidden="1" customHeight="1" x14ac:dyDescent="0.35">
      <c r="A256" s="7" t="str">
        <f t="shared" si="6"/>
        <v xml:space="preserve">76.1.1 </v>
      </c>
      <c r="B256" t="str">
        <f t="shared" si="7"/>
        <v>PASSED</v>
      </c>
      <c r="C256" s="15" t="s">
        <v>311</v>
      </c>
      <c r="G256" s="17">
        <v>76</v>
      </c>
      <c r="H256" s="17">
        <v>1</v>
      </c>
      <c r="I256" s="17">
        <v>1</v>
      </c>
    </row>
    <row r="257" spans="1:9" ht="17" hidden="1" customHeight="1" x14ac:dyDescent="0.35">
      <c r="A257" s="7" t="str">
        <f t="shared" si="6"/>
        <v xml:space="preserve">76.1.2 </v>
      </c>
      <c r="B257" t="str">
        <f t="shared" si="7"/>
        <v>PASSED</v>
      </c>
      <c r="C257" s="15" t="s">
        <v>140</v>
      </c>
      <c r="G257" s="17">
        <v>76</v>
      </c>
      <c r="H257" s="17">
        <v>1</v>
      </c>
      <c r="I257" s="17">
        <v>2</v>
      </c>
    </row>
    <row r="258" spans="1:9" ht="17" hidden="1" customHeight="1" x14ac:dyDescent="0.35">
      <c r="A258" s="7" t="str">
        <f t="shared" si="6"/>
        <v xml:space="preserve">76.1.3 </v>
      </c>
      <c r="B258" t="str">
        <f t="shared" si="7"/>
        <v>PASSED</v>
      </c>
      <c r="C258" s="15" t="s">
        <v>290</v>
      </c>
      <c r="G258" s="17">
        <v>76</v>
      </c>
      <c r="H258" s="17">
        <v>1</v>
      </c>
      <c r="I258" s="17">
        <v>3</v>
      </c>
    </row>
    <row r="259" spans="1:9" ht="17" hidden="1" customHeight="1" x14ac:dyDescent="0.35">
      <c r="A259" s="7" t="str">
        <f t="shared" si="6"/>
        <v xml:space="preserve">76.1.4 </v>
      </c>
      <c r="B259" t="str">
        <f t="shared" si="7"/>
        <v>PASSED</v>
      </c>
      <c r="C259" s="15" t="s">
        <v>297</v>
      </c>
      <c r="G259" s="17">
        <v>76</v>
      </c>
      <c r="H259" s="17">
        <v>1</v>
      </c>
      <c r="I259" s="17">
        <v>4</v>
      </c>
    </row>
    <row r="260" spans="1:9" ht="17" hidden="1" customHeight="1" x14ac:dyDescent="0.35">
      <c r="A260" s="7" t="str">
        <f t="shared" si="6"/>
        <v xml:space="preserve">79.1 </v>
      </c>
      <c r="B260" t="str">
        <f t="shared" si="7"/>
        <v>PASSED</v>
      </c>
      <c r="C260" s="15" t="s">
        <v>259</v>
      </c>
      <c r="G260" s="17">
        <v>79</v>
      </c>
      <c r="H260" s="17">
        <v>1</v>
      </c>
    </row>
    <row r="261" spans="1:9" ht="17" hidden="1" customHeight="1" x14ac:dyDescent="0.35">
      <c r="A261" s="7" t="str">
        <f t="shared" si="6"/>
        <v xml:space="preserve">80.3 </v>
      </c>
      <c r="B261" t="str">
        <f t="shared" si="7"/>
        <v>PASSED</v>
      </c>
      <c r="C261" s="15" t="s">
        <v>239</v>
      </c>
      <c r="G261" s="17">
        <v>80</v>
      </c>
      <c r="H261" s="17">
        <v>3</v>
      </c>
    </row>
    <row r="262" spans="1:9" ht="17" hidden="1" customHeight="1" x14ac:dyDescent="0.35">
      <c r="A262" s="7" t="str">
        <f t="shared" si="6"/>
        <v xml:space="preserve">80.6 </v>
      </c>
      <c r="B262" t="str">
        <f t="shared" si="7"/>
        <v>PASSED</v>
      </c>
      <c r="C262" s="15" t="s">
        <v>257</v>
      </c>
      <c r="G262" s="17">
        <v>80</v>
      </c>
      <c r="H262" s="17">
        <v>6</v>
      </c>
    </row>
    <row r="263" spans="1:9" ht="17" hidden="1" customHeight="1" x14ac:dyDescent="0.35">
      <c r="A263" s="7" t="str">
        <f t="shared" ref="A263:A326" si="8">MID(C263,2,FIND(")",C263,1)-5)</f>
        <v xml:space="preserve">80.7 </v>
      </c>
      <c r="B263" t="str">
        <f t="shared" ref="B263:B326" si="9">IF(ISNUMBER(FIND("[PASSED]",C263,1)),"PASSED","FAILED")</f>
        <v>PASSED</v>
      </c>
      <c r="C263" s="15" t="s">
        <v>33</v>
      </c>
      <c r="G263" s="19">
        <v>80</v>
      </c>
      <c r="H263" s="17">
        <v>7</v>
      </c>
    </row>
    <row r="264" spans="1:9" ht="17" hidden="1" customHeight="1" x14ac:dyDescent="0.35">
      <c r="A264" s="7" t="str">
        <f t="shared" si="8"/>
        <v xml:space="preserve">80.8 </v>
      </c>
      <c r="B264" t="str">
        <f t="shared" si="9"/>
        <v>PASSED</v>
      </c>
      <c r="C264" s="15" t="s">
        <v>339</v>
      </c>
      <c r="G264" s="17">
        <v>80</v>
      </c>
      <c r="H264" s="17">
        <v>8</v>
      </c>
    </row>
    <row r="265" spans="1:9" ht="17" hidden="1" customHeight="1" x14ac:dyDescent="0.35">
      <c r="A265" s="7" t="str">
        <f t="shared" si="8"/>
        <v xml:space="preserve">81.3 </v>
      </c>
      <c r="B265" t="str">
        <f t="shared" si="9"/>
        <v>PASSED</v>
      </c>
      <c r="C265" s="15" t="s">
        <v>26</v>
      </c>
      <c r="G265" s="19">
        <v>81</v>
      </c>
      <c r="H265" s="17">
        <v>3</v>
      </c>
    </row>
    <row r="266" spans="1:9" ht="17" hidden="1" customHeight="1" x14ac:dyDescent="0.35">
      <c r="A266" s="7" t="str">
        <f t="shared" si="8"/>
        <v xml:space="preserve">81.7 </v>
      </c>
      <c r="B266" t="str">
        <f t="shared" si="9"/>
        <v>PASSED</v>
      </c>
      <c r="C266" s="15" t="s">
        <v>272</v>
      </c>
      <c r="G266" s="17">
        <v>81</v>
      </c>
      <c r="H266" s="17">
        <v>7</v>
      </c>
    </row>
    <row r="267" spans="1:9" ht="17" hidden="1" customHeight="1" x14ac:dyDescent="0.35">
      <c r="A267" s="7" t="str">
        <f t="shared" si="8"/>
        <v xml:space="preserve">81.8 </v>
      </c>
      <c r="B267" t="str">
        <f t="shared" si="9"/>
        <v>PASSED</v>
      </c>
      <c r="C267" s="15" t="s">
        <v>273</v>
      </c>
      <c r="G267" s="17">
        <v>81</v>
      </c>
      <c r="H267" s="17">
        <v>8</v>
      </c>
    </row>
    <row r="268" spans="1:9" ht="17" hidden="1" customHeight="1" x14ac:dyDescent="0.35">
      <c r="A268" s="7" t="str">
        <f t="shared" si="8"/>
        <v xml:space="preserve">81.10 </v>
      </c>
      <c r="B268" t="str">
        <f t="shared" si="9"/>
        <v>PASSED</v>
      </c>
      <c r="C268" s="15" t="s">
        <v>126</v>
      </c>
      <c r="G268" s="17">
        <v>81</v>
      </c>
      <c r="H268" s="17">
        <v>10</v>
      </c>
    </row>
    <row r="269" spans="1:9" ht="17" hidden="1" customHeight="1" x14ac:dyDescent="0.35">
      <c r="A269" s="7" t="str">
        <f t="shared" si="8"/>
        <v xml:space="preserve">81.11 </v>
      </c>
      <c r="B269" t="str">
        <f t="shared" si="9"/>
        <v>PASSED</v>
      </c>
      <c r="C269" s="15" t="s">
        <v>112</v>
      </c>
      <c r="G269" s="19">
        <v>81</v>
      </c>
      <c r="H269" s="17">
        <v>11</v>
      </c>
    </row>
    <row r="270" spans="1:9" ht="17" hidden="1" customHeight="1" x14ac:dyDescent="0.35">
      <c r="A270" s="7" t="str">
        <f t="shared" si="8"/>
        <v xml:space="preserve">81.13 </v>
      </c>
      <c r="B270" t="str">
        <f t="shared" si="9"/>
        <v>PASSED</v>
      </c>
      <c r="C270" s="15" t="s">
        <v>263</v>
      </c>
      <c r="G270" s="17">
        <v>81</v>
      </c>
      <c r="H270" s="17">
        <v>13</v>
      </c>
    </row>
    <row r="271" spans="1:9" ht="17" hidden="1" customHeight="1" x14ac:dyDescent="0.35">
      <c r="A271" s="7" t="str">
        <f t="shared" si="8"/>
        <v xml:space="preserve">81.20 </v>
      </c>
      <c r="B271" t="str">
        <f t="shared" si="9"/>
        <v>PASSED</v>
      </c>
      <c r="C271" s="15" t="s">
        <v>246</v>
      </c>
      <c r="G271" s="17">
        <v>81</v>
      </c>
      <c r="H271" s="17">
        <v>20</v>
      </c>
    </row>
    <row r="272" spans="1:9" ht="17" hidden="1" customHeight="1" x14ac:dyDescent="0.35">
      <c r="A272" s="7" t="str">
        <f t="shared" si="8"/>
        <v xml:space="preserve">81.22 </v>
      </c>
      <c r="B272" t="str">
        <f t="shared" si="9"/>
        <v>PASSED</v>
      </c>
      <c r="C272" s="15" t="s">
        <v>63</v>
      </c>
      <c r="G272" s="19">
        <v>81</v>
      </c>
      <c r="H272" s="17">
        <v>22</v>
      </c>
    </row>
    <row r="273" spans="1:8" ht="17" hidden="1" customHeight="1" x14ac:dyDescent="0.35">
      <c r="A273" s="7" t="str">
        <f t="shared" si="8"/>
        <v xml:space="preserve">81.24 </v>
      </c>
      <c r="B273" t="str">
        <f t="shared" si="9"/>
        <v>PASSED</v>
      </c>
      <c r="C273" s="15" t="s">
        <v>245</v>
      </c>
      <c r="G273" s="17">
        <v>81</v>
      </c>
      <c r="H273" s="17">
        <v>24</v>
      </c>
    </row>
    <row r="274" spans="1:8" ht="17" hidden="1" customHeight="1" x14ac:dyDescent="0.35">
      <c r="A274" s="7" t="str">
        <f t="shared" si="8"/>
        <v xml:space="preserve">81.26 </v>
      </c>
      <c r="B274" t="str">
        <f t="shared" si="9"/>
        <v>PASSED</v>
      </c>
      <c r="C274" s="15" t="s">
        <v>176</v>
      </c>
      <c r="G274" s="17">
        <v>81</v>
      </c>
      <c r="H274" s="17">
        <v>26</v>
      </c>
    </row>
    <row r="275" spans="1:8" ht="17" hidden="1" customHeight="1" x14ac:dyDescent="0.35">
      <c r="A275" s="7" t="str">
        <f t="shared" si="8"/>
        <v xml:space="preserve">81.27 </v>
      </c>
      <c r="B275" t="str">
        <f t="shared" si="9"/>
        <v>PASSED</v>
      </c>
      <c r="C275" s="15" t="s">
        <v>50</v>
      </c>
      <c r="G275" s="19">
        <v>81</v>
      </c>
      <c r="H275" s="17">
        <v>27</v>
      </c>
    </row>
    <row r="276" spans="1:8" ht="17" hidden="1" customHeight="1" x14ac:dyDescent="0.35">
      <c r="A276" s="7" t="str">
        <f t="shared" si="8"/>
        <v xml:space="preserve">81.28 </v>
      </c>
      <c r="B276" t="str">
        <f t="shared" si="9"/>
        <v>PASSED</v>
      </c>
      <c r="C276" s="15" t="s">
        <v>211</v>
      </c>
      <c r="G276" s="17">
        <v>81</v>
      </c>
      <c r="H276" s="17">
        <v>28</v>
      </c>
    </row>
    <row r="277" spans="1:8" ht="17" hidden="1" customHeight="1" x14ac:dyDescent="0.35">
      <c r="A277" s="7" t="str">
        <f t="shared" si="8"/>
        <v xml:space="preserve">81.29 </v>
      </c>
      <c r="B277" t="str">
        <f t="shared" si="9"/>
        <v>PASSED</v>
      </c>
      <c r="C277" s="15" t="s">
        <v>337</v>
      </c>
      <c r="G277" s="17">
        <v>81</v>
      </c>
      <c r="H277" s="17">
        <v>29</v>
      </c>
    </row>
    <row r="278" spans="1:8" ht="17" hidden="1" customHeight="1" x14ac:dyDescent="0.35">
      <c r="A278" s="7" t="str">
        <f t="shared" si="8"/>
        <v xml:space="preserve">81.32 </v>
      </c>
      <c r="B278" t="str">
        <f t="shared" si="9"/>
        <v>PASSED</v>
      </c>
      <c r="C278" s="15" t="s">
        <v>237</v>
      </c>
      <c r="G278" s="17">
        <v>81</v>
      </c>
      <c r="H278" s="17">
        <v>32</v>
      </c>
    </row>
    <row r="279" spans="1:8" ht="17" hidden="1" customHeight="1" x14ac:dyDescent="0.35">
      <c r="A279" s="7" t="str">
        <f t="shared" si="8"/>
        <v xml:space="preserve">81.33 </v>
      </c>
      <c r="B279" t="str">
        <f t="shared" si="9"/>
        <v>PASSED</v>
      </c>
      <c r="C279" s="15" t="s">
        <v>152</v>
      </c>
      <c r="G279" s="17">
        <v>81</v>
      </c>
      <c r="H279" s="17">
        <v>33</v>
      </c>
    </row>
    <row r="280" spans="1:8" ht="17" hidden="1" customHeight="1" x14ac:dyDescent="0.35">
      <c r="A280" s="7" t="str">
        <f t="shared" si="8"/>
        <v xml:space="preserve">81.38 </v>
      </c>
      <c r="B280" t="str">
        <f t="shared" si="9"/>
        <v>PASSED</v>
      </c>
      <c r="C280" s="15" t="s">
        <v>134</v>
      </c>
      <c r="G280" s="17">
        <v>81</v>
      </c>
      <c r="H280" s="17">
        <v>38</v>
      </c>
    </row>
    <row r="281" spans="1:8" ht="17" hidden="1" customHeight="1" x14ac:dyDescent="0.35">
      <c r="A281" s="7" t="str">
        <f t="shared" si="8"/>
        <v xml:space="preserve">81.39 </v>
      </c>
      <c r="B281" t="str">
        <f t="shared" si="9"/>
        <v>PASSED</v>
      </c>
      <c r="C281" s="15" t="s">
        <v>195</v>
      </c>
      <c r="G281" s="17">
        <v>81</v>
      </c>
      <c r="H281" s="17">
        <v>39</v>
      </c>
    </row>
    <row r="282" spans="1:8" ht="17" hidden="1" customHeight="1" x14ac:dyDescent="0.35">
      <c r="A282" s="7" t="str">
        <f t="shared" si="8"/>
        <v xml:space="preserve">81.40 </v>
      </c>
      <c r="B282" t="str">
        <f t="shared" si="9"/>
        <v>PASSED</v>
      </c>
      <c r="C282" s="15" t="s">
        <v>225</v>
      </c>
      <c r="G282" s="17">
        <v>81</v>
      </c>
      <c r="H282" s="17">
        <v>40</v>
      </c>
    </row>
    <row r="283" spans="1:8" ht="17" hidden="1" customHeight="1" x14ac:dyDescent="0.35">
      <c r="A283" s="7" t="str">
        <f t="shared" si="8"/>
        <v xml:space="preserve">81.41 </v>
      </c>
      <c r="B283" t="str">
        <f t="shared" si="9"/>
        <v>PASSED</v>
      </c>
      <c r="C283" s="15" t="s">
        <v>325</v>
      </c>
      <c r="G283" s="17">
        <v>81</v>
      </c>
      <c r="H283" s="17">
        <v>41</v>
      </c>
    </row>
    <row r="284" spans="1:8" ht="17" hidden="1" customHeight="1" x14ac:dyDescent="0.35">
      <c r="A284" s="7" t="str">
        <f t="shared" si="8"/>
        <v xml:space="preserve">81.42 </v>
      </c>
      <c r="B284" t="str">
        <f t="shared" si="9"/>
        <v>PASSED</v>
      </c>
      <c r="C284" s="15" t="s">
        <v>310</v>
      </c>
      <c r="G284" s="17">
        <v>81</v>
      </c>
      <c r="H284" s="17">
        <v>42</v>
      </c>
    </row>
    <row r="285" spans="1:8" ht="17" hidden="1" customHeight="1" x14ac:dyDescent="0.35">
      <c r="A285" s="7" t="str">
        <f t="shared" si="8"/>
        <v xml:space="preserve">89.1 </v>
      </c>
      <c r="B285" t="str">
        <f t="shared" si="9"/>
        <v>PASSED</v>
      </c>
      <c r="C285" s="15" t="s">
        <v>100</v>
      </c>
      <c r="G285" s="19">
        <v>89</v>
      </c>
      <c r="H285" s="17">
        <v>1</v>
      </c>
    </row>
    <row r="286" spans="1:8" ht="17" hidden="1" customHeight="1" x14ac:dyDescent="0.35">
      <c r="A286" s="7" t="str">
        <f t="shared" si="8"/>
        <v xml:space="preserve">89.2 </v>
      </c>
      <c r="B286" t="str">
        <f t="shared" si="9"/>
        <v>PASSED</v>
      </c>
      <c r="C286" s="15" t="s">
        <v>222</v>
      </c>
      <c r="G286" s="17">
        <v>89</v>
      </c>
      <c r="H286" s="17">
        <v>2</v>
      </c>
    </row>
    <row r="287" spans="1:8" ht="17" hidden="1" customHeight="1" x14ac:dyDescent="0.35">
      <c r="A287" s="7" t="str">
        <f t="shared" si="8"/>
        <v xml:space="preserve">89.3 </v>
      </c>
      <c r="B287" t="str">
        <f t="shared" si="9"/>
        <v>PASSED</v>
      </c>
      <c r="C287" s="15" t="s">
        <v>212</v>
      </c>
      <c r="G287" s="17">
        <v>89</v>
      </c>
      <c r="H287" s="17">
        <v>3</v>
      </c>
    </row>
    <row r="288" spans="1:8" ht="17" hidden="1" customHeight="1" x14ac:dyDescent="0.35">
      <c r="A288" s="7" t="str">
        <f t="shared" si="8"/>
        <v xml:space="preserve">89.4 </v>
      </c>
      <c r="B288" t="str">
        <f t="shared" si="9"/>
        <v>PASSED</v>
      </c>
      <c r="C288" s="15" t="s">
        <v>139</v>
      </c>
      <c r="G288" s="17">
        <v>89</v>
      </c>
      <c r="H288" s="17">
        <v>4</v>
      </c>
    </row>
    <row r="289" spans="1:8" ht="17" hidden="1" customHeight="1" x14ac:dyDescent="0.35">
      <c r="A289" s="7" t="str">
        <f t="shared" si="8"/>
        <v xml:space="preserve">89.5 </v>
      </c>
      <c r="B289" t="str">
        <f t="shared" si="9"/>
        <v>PASSED</v>
      </c>
      <c r="C289" s="15" t="s">
        <v>316</v>
      </c>
      <c r="G289" s="17">
        <v>89</v>
      </c>
      <c r="H289" s="17">
        <v>5</v>
      </c>
    </row>
    <row r="290" spans="1:8" ht="17" hidden="1" customHeight="1" x14ac:dyDescent="0.35">
      <c r="A290" s="7" t="str">
        <f t="shared" si="8"/>
        <v xml:space="preserve">89.6 </v>
      </c>
      <c r="B290" t="str">
        <f t="shared" si="9"/>
        <v>PASSED</v>
      </c>
      <c r="C290" s="15" t="s">
        <v>12</v>
      </c>
      <c r="G290" s="19">
        <v>89</v>
      </c>
      <c r="H290" s="17">
        <v>6</v>
      </c>
    </row>
    <row r="291" spans="1:8" ht="17" hidden="1" customHeight="1" x14ac:dyDescent="0.35">
      <c r="A291" s="7" t="str">
        <f t="shared" si="8"/>
        <v xml:space="preserve">89.7 </v>
      </c>
      <c r="B291" t="str">
        <f t="shared" si="9"/>
        <v>PASSED</v>
      </c>
      <c r="C291" s="15" t="s">
        <v>123</v>
      </c>
      <c r="G291" s="17">
        <v>89</v>
      </c>
      <c r="H291" s="17">
        <v>7</v>
      </c>
    </row>
    <row r="292" spans="1:8" ht="17" hidden="1" customHeight="1" x14ac:dyDescent="0.35">
      <c r="A292" s="7" t="str">
        <f t="shared" si="8"/>
        <v xml:space="preserve">89.8 </v>
      </c>
      <c r="B292" t="str">
        <f t="shared" si="9"/>
        <v>PASSED</v>
      </c>
      <c r="C292" s="15" t="s">
        <v>306</v>
      </c>
      <c r="G292" s="17">
        <v>89</v>
      </c>
      <c r="H292" s="17">
        <v>8</v>
      </c>
    </row>
    <row r="293" spans="1:8" ht="17" hidden="1" customHeight="1" x14ac:dyDescent="0.35">
      <c r="A293" s="7" t="str">
        <f t="shared" si="8"/>
        <v xml:space="preserve">89.9 </v>
      </c>
      <c r="B293" t="str">
        <f t="shared" si="9"/>
        <v>PASSED</v>
      </c>
      <c r="C293" s="15" t="s">
        <v>232</v>
      </c>
      <c r="G293" s="17">
        <v>89</v>
      </c>
      <c r="H293" s="17">
        <v>9</v>
      </c>
    </row>
    <row r="294" spans="1:8" ht="17" hidden="1" customHeight="1" x14ac:dyDescent="0.35">
      <c r="A294" s="7" t="str">
        <f t="shared" si="8"/>
        <v xml:space="preserve">89.10 </v>
      </c>
      <c r="B294" t="str">
        <f t="shared" si="9"/>
        <v>PASSED</v>
      </c>
      <c r="C294" s="15" t="s">
        <v>60</v>
      </c>
      <c r="G294" s="19">
        <v>89</v>
      </c>
      <c r="H294" s="17">
        <v>10</v>
      </c>
    </row>
    <row r="295" spans="1:8" ht="17" hidden="1" customHeight="1" x14ac:dyDescent="0.35">
      <c r="A295" s="7" t="str">
        <f t="shared" si="8"/>
        <v xml:space="preserve">89.11 </v>
      </c>
      <c r="B295" t="str">
        <f t="shared" si="9"/>
        <v>PASSED</v>
      </c>
      <c r="C295" s="15" t="s">
        <v>32</v>
      </c>
      <c r="G295" s="19">
        <v>89</v>
      </c>
      <c r="H295" s="17">
        <v>11</v>
      </c>
    </row>
    <row r="296" spans="1:8" ht="17" hidden="1" customHeight="1" x14ac:dyDescent="0.35">
      <c r="A296" s="7" t="str">
        <f t="shared" si="8"/>
        <v xml:space="preserve">89.12 </v>
      </c>
      <c r="B296" t="str">
        <f t="shared" si="9"/>
        <v>PASSED</v>
      </c>
      <c r="C296" s="15" t="s">
        <v>190</v>
      </c>
      <c r="G296" s="17">
        <v>89</v>
      </c>
      <c r="H296" s="17">
        <v>12</v>
      </c>
    </row>
    <row r="297" spans="1:8" ht="17" hidden="1" customHeight="1" x14ac:dyDescent="0.35">
      <c r="A297" s="7" t="str">
        <f t="shared" si="8"/>
        <v xml:space="preserve">89.13 </v>
      </c>
      <c r="B297" t="str">
        <f t="shared" si="9"/>
        <v>PASSED</v>
      </c>
      <c r="C297" s="15" t="s">
        <v>187</v>
      </c>
      <c r="G297" s="17">
        <v>89</v>
      </c>
      <c r="H297" s="17">
        <v>13</v>
      </c>
    </row>
    <row r="298" spans="1:8" ht="17" hidden="1" customHeight="1" x14ac:dyDescent="0.35">
      <c r="A298" s="7" t="str">
        <f t="shared" si="8"/>
        <v xml:space="preserve">89.14 </v>
      </c>
      <c r="B298" t="str">
        <f t="shared" si="9"/>
        <v>PASSED</v>
      </c>
      <c r="C298" s="15" t="s">
        <v>44</v>
      </c>
      <c r="G298" s="19">
        <v>89</v>
      </c>
      <c r="H298" s="17">
        <v>14</v>
      </c>
    </row>
    <row r="299" spans="1:8" ht="30.5" customHeight="1" x14ac:dyDescent="0.35">
      <c r="A299" s="7" t="str">
        <f t="shared" si="8"/>
        <v xml:space="preserve">89.15 </v>
      </c>
      <c r="B299" t="str">
        <f t="shared" si="9"/>
        <v>FAILED</v>
      </c>
      <c r="C299" s="15" t="s">
        <v>220</v>
      </c>
      <c r="D299" s="7" t="s">
        <v>376</v>
      </c>
      <c r="E299" s="7" t="s">
        <v>355</v>
      </c>
      <c r="F299" s="7" t="s">
        <v>360</v>
      </c>
      <c r="G299" s="17">
        <v>89</v>
      </c>
      <c r="H299" s="17">
        <v>15</v>
      </c>
    </row>
    <row r="300" spans="1:8" ht="30.5" customHeight="1" x14ac:dyDescent="0.35">
      <c r="A300" s="7" t="str">
        <f t="shared" si="8"/>
        <v xml:space="preserve">89.16 </v>
      </c>
      <c r="B300" t="str">
        <f t="shared" si="9"/>
        <v>FAILED</v>
      </c>
      <c r="C300" s="15" t="s">
        <v>108</v>
      </c>
      <c r="D300" s="7" t="s">
        <v>376</v>
      </c>
      <c r="E300" s="7" t="s">
        <v>355</v>
      </c>
      <c r="F300" s="7" t="s">
        <v>360</v>
      </c>
      <c r="G300" s="19">
        <v>89</v>
      </c>
      <c r="H300" s="17">
        <v>16</v>
      </c>
    </row>
    <row r="301" spans="1:8" ht="17" hidden="1" customHeight="1" x14ac:dyDescent="0.35">
      <c r="A301" s="7" t="str">
        <f t="shared" si="8"/>
        <v xml:space="preserve">89.17 </v>
      </c>
      <c r="B301" t="str">
        <f t="shared" si="9"/>
        <v>PASSED</v>
      </c>
      <c r="C301" s="15" t="s">
        <v>75</v>
      </c>
      <c r="G301" s="19">
        <v>89</v>
      </c>
      <c r="H301" s="17">
        <v>17</v>
      </c>
    </row>
    <row r="302" spans="1:8" ht="17" hidden="1" customHeight="1" x14ac:dyDescent="0.35">
      <c r="A302" s="7" t="str">
        <f t="shared" si="8"/>
        <v xml:space="preserve">89.18 </v>
      </c>
      <c r="B302" t="str">
        <f t="shared" si="9"/>
        <v>PASSED</v>
      </c>
      <c r="C302" s="15" t="s">
        <v>157</v>
      </c>
      <c r="G302" s="17">
        <v>89</v>
      </c>
      <c r="H302" s="17">
        <v>18</v>
      </c>
    </row>
    <row r="303" spans="1:8" ht="17" hidden="1" customHeight="1" x14ac:dyDescent="0.35">
      <c r="A303" s="7" t="str">
        <f t="shared" si="8"/>
        <v xml:space="preserve">89.19 </v>
      </c>
      <c r="B303" t="str">
        <f t="shared" si="9"/>
        <v>PASSED</v>
      </c>
      <c r="C303" s="15" t="s">
        <v>240</v>
      </c>
      <c r="G303" s="17">
        <v>89</v>
      </c>
      <c r="H303" s="17">
        <v>19</v>
      </c>
    </row>
    <row r="304" spans="1:8" ht="17" hidden="1" customHeight="1" x14ac:dyDescent="0.35">
      <c r="A304" s="7" t="str">
        <f t="shared" si="8"/>
        <v xml:space="preserve">89.20 </v>
      </c>
      <c r="B304" t="str">
        <f t="shared" si="9"/>
        <v>PASSED</v>
      </c>
      <c r="C304" s="15" t="s">
        <v>235</v>
      </c>
      <c r="G304" s="17">
        <v>89</v>
      </c>
      <c r="H304" s="17">
        <v>20</v>
      </c>
    </row>
    <row r="305" spans="1:8" ht="17" hidden="1" customHeight="1" x14ac:dyDescent="0.35">
      <c r="A305" s="7" t="str">
        <f t="shared" si="8"/>
        <v xml:space="preserve">89.21 </v>
      </c>
      <c r="B305" t="str">
        <f t="shared" si="9"/>
        <v>PASSED</v>
      </c>
      <c r="C305" s="15" t="s">
        <v>281</v>
      </c>
      <c r="G305" s="17">
        <v>89</v>
      </c>
      <c r="H305" s="17">
        <v>21</v>
      </c>
    </row>
    <row r="306" spans="1:8" ht="17" hidden="1" customHeight="1" x14ac:dyDescent="0.35">
      <c r="A306" s="7" t="str">
        <f t="shared" si="8"/>
        <v xml:space="preserve">89.22 </v>
      </c>
      <c r="B306" t="str">
        <f t="shared" si="9"/>
        <v>PASSED</v>
      </c>
      <c r="C306" s="15" t="s">
        <v>236</v>
      </c>
      <c r="G306" s="17">
        <v>89</v>
      </c>
      <c r="H306" s="17">
        <v>22</v>
      </c>
    </row>
    <row r="307" spans="1:8" ht="17" hidden="1" customHeight="1" x14ac:dyDescent="0.35">
      <c r="A307" s="7" t="str">
        <f t="shared" si="8"/>
        <v xml:space="preserve">89.23 </v>
      </c>
      <c r="B307" t="str">
        <f t="shared" si="9"/>
        <v>PASSED</v>
      </c>
      <c r="C307" s="15" t="s">
        <v>202</v>
      </c>
      <c r="G307" s="17">
        <v>89</v>
      </c>
      <c r="H307" s="17">
        <v>23</v>
      </c>
    </row>
    <row r="308" spans="1:8" ht="17" hidden="1" customHeight="1" x14ac:dyDescent="0.35">
      <c r="A308" s="7" t="str">
        <f t="shared" si="8"/>
        <v xml:space="preserve">89.25 </v>
      </c>
      <c r="B308" t="str">
        <f t="shared" si="9"/>
        <v>PASSED</v>
      </c>
      <c r="C308" s="15" t="s">
        <v>302</v>
      </c>
      <c r="G308" s="17">
        <v>89</v>
      </c>
      <c r="H308" s="17">
        <v>25</v>
      </c>
    </row>
    <row r="309" spans="1:8" ht="17" hidden="1" customHeight="1" x14ac:dyDescent="0.35">
      <c r="A309" s="7" t="str">
        <f t="shared" si="8"/>
        <v xml:space="preserve">89.26 </v>
      </c>
      <c r="B309" t="str">
        <f t="shared" si="9"/>
        <v>PASSED</v>
      </c>
      <c r="C309" s="15" t="s">
        <v>340</v>
      </c>
      <c r="G309" s="17">
        <v>89</v>
      </c>
      <c r="H309" s="17">
        <v>26</v>
      </c>
    </row>
    <row r="310" spans="1:8" ht="17" hidden="1" customHeight="1" x14ac:dyDescent="0.35">
      <c r="A310" s="7" t="str">
        <f t="shared" si="8"/>
        <v xml:space="preserve">89.27 </v>
      </c>
      <c r="B310" t="str">
        <f t="shared" si="9"/>
        <v>PASSED</v>
      </c>
      <c r="C310" s="15" t="s">
        <v>51</v>
      </c>
      <c r="G310" s="19">
        <v>89</v>
      </c>
      <c r="H310" s="17">
        <v>27</v>
      </c>
    </row>
    <row r="311" spans="1:8" ht="17" hidden="1" customHeight="1" x14ac:dyDescent="0.35">
      <c r="A311" s="7" t="str">
        <f t="shared" si="8"/>
        <v xml:space="preserve">89.28 </v>
      </c>
      <c r="B311" t="str">
        <f t="shared" si="9"/>
        <v>PASSED</v>
      </c>
      <c r="C311" s="15" t="s">
        <v>8</v>
      </c>
      <c r="G311" s="19">
        <v>89</v>
      </c>
      <c r="H311" s="17">
        <v>28</v>
      </c>
    </row>
    <row r="312" spans="1:8" ht="17" hidden="1" customHeight="1" x14ac:dyDescent="0.35">
      <c r="A312" s="7" t="str">
        <f t="shared" si="8"/>
        <v xml:space="preserve">89.29 </v>
      </c>
      <c r="B312" t="str">
        <f t="shared" si="9"/>
        <v>PASSED</v>
      </c>
      <c r="C312" s="15" t="s">
        <v>293</v>
      </c>
      <c r="G312" s="17">
        <v>89</v>
      </c>
      <c r="H312" s="17">
        <v>29</v>
      </c>
    </row>
    <row r="313" spans="1:8" ht="17" hidden="1" customHeight="1" x14ac:dyDescent="0.35">
      <c r="A313" s="7" t="str">
        <f t="shared" si="8"/>
        <v xml:space="preserve">89.30 </v>
      </c>
      <c r="B313" t="str">
        <f t="shared" si="9"/>
        <v>PASSED</v>
      </c>
      <c r="C313" s="15" t="s">
        <v>343</v>
      </c>
      <c r="G313" s="17">
        <v>89</v>
      </c>
      <c r="H313" s="17">
        <v>30</v>
      </c>
    </row>
    <row r="314" spans="1:8" ht="17" hidden="1" customHeight="1" x14ac:dyDescent="0.35">
      <c r="A314" s="7" t="str">
        <f t="shared" si="8"/>
        <v xml:space="preserve">89.31 </v>
      </c>
      <c r="B314" t="str">
        <f t="shared" si="9"/>
        <v>PASSED</v>
      </c>
      <c r="C314" s="15" t="s">
        <v>146</v>
      </c>
      <c r="G314" s="17">
        <v>89</v>
      </c>
      <c r="H314" s="17">
        <v>31</v>
      </c>
    </row>
    <row r="315" spans="1:8" ht="17" hidden="1" customHeight="1" x14ac:dyDescent="0.35">
      <c r="A315" s="7" t="str">
        <f t="shared" si="8"/>
        <v xml:space="preserve">89.32 </v>
      </c>
      <c r="B315" t="str">
        <f t="shared" si="9"/>
        <v>PASSED</v>
      </c>
      <c r="C315" s="15" t="s">
        <v>201</v>
      </c>
      <c r="G315" s="17">
        <v>89</v>
      </c>
      <c r="H315" s="17">
        <v>32</v>
      </c>
    </row>
    <row r="316" spans="1:8" ht="17" hidden="1" customHeight="1" x14ac:dyDescent="0.35">
      <c r="A316" s="7" t="str">
        <f t="shared" si="8"/>
        <v xml:space="preserve">89.33 </v>
      </c>
      <c r="B316" t="str">
        <f t="shared" si="9"/>
        <v>PASSED</v>
      </c>
      <c r="C316" s="15" t="s">
        <v>274</v>
      </c>
      <c r="G316" s="17">
        <v>89</v>
      </c>
      <c r="H316" s="17">
        <v>33</v>
      </c>
    </row>
    <row r="317" spans="1:8" ht="30.5" customHeight="1" x14ac:dyDescent="0.35">
      <c r="A317" s="7" t="str">
        <f t="shared" si="8"/>
        <v xml:space="preserve">89.34 </v>
      </c>
      <c r="B317" t="str">
        <f t="shared" si="9"/>
        <v>FAILED</v>
      </c>
      <c r="C317" s="15" t="s">
        <v>19</v>
      </c>
      <c r="D317" s="7" t="s">
        <v>376</v>
      </c>
      <c r="E317" s="7" t="s">
        <v>355</v>
      </c>
      <c r="F317" s="7" t="s">
        <v>360</v>
      </c>
      <c r="G317" s="19">
        <v>89</v>
      </c>
      <c r="H317" s="17">
        <v>34</v>
      </c>
    </row>
    <row r="318" spans="1:8" ht="17" hidden="1" customHeight="1" x14ac:dyDescent="0.35">
      <c r="A318" s="7" t="str">
        <f t="shared" si="8"/>
        <v xml:space="preserve">89.35 </v>
      </c>
      <c r="B318" t="str">
        <f t="shared" si="9"/>
        <v>PASSED</v>
      </c>
      <c r="C318" s="15" t="s">
        <v>95</v>
      </c>
      <c r="G318" s="19">
        <v>89</v>
      </c>
      <c r="H318" s="17">
        <v>35</v>
      </c>
    </row>
    <row r="319" spans="1:8" ht="17" hidden="1" customHeight="1" x14ac:dyDescent="0.35">
      <c r="A319" s="7" t="str">
        <f t="shared" si="8"/>
        <v xml:space="preserve">90.1 </v>
      </c>
      <c r="B319" t="str">
        <f t="shared" si="9"/>
        <v>PASSED</v>
      </c>
      <c r="C319" s="15" t="s">
        <v>43</v>
      </c>
      <c r="G319" s="19">
        <v>90</v>
      </c>
      <c r="H319" s="17">
        <v>1</v>
      </c>
    </row>
    <row r="320" spans="1:8" ht="17" hidden="1" customHeight="1" x14ac:dyDescent="0.35">
      <c r="A320" s="7" t="str">
        <f t="shared" si="8"/>
        <v xml:space="preserve">90.2 </v>
      </c>
      <c r="B320" t="str">
        <f t="shared" si="9"/>
        <v>PASSED</v>
      </c>
      <c r="C320" s="15" t="s">
        <v>54</v>
      </c>
      <c r="G320" s="19">
        <v>90</v>
      </c>
      <c r="H320" s="17">
        <v>2</v>
      </c>
    </row>
    <row r="321" spans="1:8" ht="17" hidden="1" customHeight="1" x14ac:dyDescent="0.35">
      <c r="A321" s="7" t="str">
        <f t="shared" si="8"/>
        <v xml:space="preserve">93.1 </v>
      </c>
      <c r="B321" t="str">
        <f t="shared" si="9"/>
        <v>PASSED</v>
      </c>
      <c r="C321" s="15" t="s">
        <v>197</v>
      </c>
      <c r="G321" s="17">
        <v>93</v>
      </c>
      <c r="H321" s="17">
        <v>1</v>
      </c>
    </row>
    <row r="322" spans="1:8" ht="17" hidden="1" customHeight="1" x14ac:dyDescent="0.35">
      <c r="A322" s="7" t="str">
        <f t="shared" si="8"/>
        <v xml:space="preserve">94.1 </v>
      </c>
      <c r="B322" t="str">
        <f t="shared" si="9"/>
        <v>PASSED</v>
      </c>
      <c r="C322" s="15" t="s">
        <v>338</v>
      </c>
      <c r="G322" s="17">
        <v>94</v>
      </c>
      <c r="H322" s="17">
        <v>1</v>
      </c>
    </row>
    <row r="323" spans="1:8" ht="17" hidden="1" customHeight="1" x14ac:dyDescent="0.35">
      <c r="A323" s="7" t="str">
        <f t="shared" si="8"/>
        <v xml:space="preserve">96.1 </v>
      </c>
      <c r="B323" t="str">
        <f t="shared" si="9"/>
        <v>PASSED</v>
      </c>
      <c r="C323" s="15" t="s">
        <v>267</v>
      </c>
      <c r="G323" s="17">
        <v>96</v>
      </c>
      <c r="H323" s="17">
        <v>1</v>
      </c>
    </row>
    <row r="324" spans="1:8" ht="17" hidden="1" customHeight="1" x14ac:dyDescent="0.35">
      <c r="A324" s="7" t="str">
        <f t="shared" si="8"/>
        <v xml:space="preserve">97.1 </v>
      </c>
      <c r="B324" t="str">
        <f t="shared" si="9"/>
        <v>PASSED</v>
      </c>
      <c r="C324" s="15" t="s">
        <v>269</v>
      </c>
      <c r="G324" s="17">
        <v>97</v>
      </c>
      <c r="H324" s="17">
        <v>1</v>
      </c>
    </row>
    <row r="325" spans="1:8" ht="17" hidden="1" customHeight="1" x14ac:dyDescent="0.35">
      <c r="A325" s="7" t="str">
        <f t="shared" si="8"/>
        <v xml:space="preserve">97.2 </v>
      </c>
      <c r="B325" t="str">
        <f t="shared" si="9"/>
        <v>PASSED</v>
      </c>
      <c r="C325" s="15" t="s">
        <v>80</v>
      </c>
      <c r="G325" s="19">
        <v>97</v>
      </c>
      <c r="H325" s="17">
        <v>2</v>
      </c>
    </row>
    <row r="326" spans="1:8" ht="17" hidden="1" customHeight="1" x14ac:dyDescent="0.35">
      <c r="A326" s="7" t="str">
        <f t="shared" si="8"/>
        <v xml:space="preserve">97.3 </v>
      </c>
      <c r="B326" t="str">
        <f t="shared" si="9"/>
        <v>PASSED</v>
      </c>
      <c r="C326" s="15" t="s">
        <v>141</v>
      </c>
      <c r="G326" s="17">
        <v>97</v>
      </c>
      <c r="H326" s="17">
        <v>3</v>
      </c>
    </row>
    <row r="327" spans="1:8" ht="17" hidden="1" customHeight="1" x14ac:dyDescent="0.35">
      <c r="A327" s="7" t="str">
        <f t="shared" ref="A327:A343" si="10">MID(C327,2,FIND(")",C327,1)-5)</f>
        <v xml:space="preserve">97.4 </v>
      </c>
      <c r="B327" t="str">
        <f t="shared" ref="B327:B390" si="11">IF(ISNUMBER(FIND("[PASSED]",C327,1)),"PASSED","FAILED")</f>
        <v>PASSED</v>
      </c>
      <c r="C327" s="15" t="s">
        <v>177</v>
      </c>
      <c r="G327" s="17">
        <v>97</v>
      </c>
      <c r="H327" s="17">
        <v>4</v>
      </c>
    </row>
    <row r="328" spans="1:8" ht="17" hidden="1" customHeight="1" x14ac:dyDescent="0.35">
      <c r="A328" s="7" t="str">
        <f t="shared" si="10"/>
        <v xml:space="preserve">98.2 </v>
      </c>
      <c r="B328" t="str">
        <f t="shared" si="11"/>
        <v>PASSED</v>
      </c>
      <c r="C328" s="15" t="s">
        <v>327</v>
      </c>
      <c r="G328" s="17">
        <v>98</v>
      </c>
      <c r="H328" s="17">
        <v>2</v>
      </c>
    </row>
    <row r="329" spans="1:8" ht="17" hidden="1" customHeight="1" x14ac:dyDescent="0.35">
      <c r="A329" s="7" t="str">
        <f t="shared" si="10"/>
        <v xml:space="preserve">101.1 </v>
      </c>
      <c r="B329" t="str">
        <f t="shared" si="11"/>
        <v>PASSED</v>
      </c>
      <c r="C329" s="15" t="s">
        <v>228</v>
      </c>
      <c r="G329" s="17">
        <v>101</v>
      </c>
      <c r="H329" s="17">
        <v>1</v>
      </c>
    </row>
    <row r="330" spans="1:8" ht="17" hidden="1" customHeight="1" x14ac:dyDescent="0.35">
      <c r="A330" s="7" t="str">
        <f t="shared" si="10"/>
        <v xml:space="preserve">101.2 </v>
      </c>
      <c r="B330" t="str">
        <f t="shared" si="11"/>
        <v>PASSED</v>
      </c>
      <c r="C330" s="15" t="s">
        <v>67</v>
      </c>
      <c r="G330" s="19">
        <v>101</v>
      </c>
      <c r="H330" s="17">
        <v>2</v>
      </c>
    </row>
    <row r="331" spans="1:8" ht="30.5" customHeight="1" x14ac:dyDescent="0.35">
      <c r="A331" s="7" t="str">
        <f t="shared" si="10"/>
        <v xml:space="preserve">103.1 </v>
      </c>
      <c r="B331" t="str">
        <f t="shared" si="11"/>
        <v>FAILED</v>
      </c>
      <c r="C331" s="15" t="s">
        <v>265</v>
      </c>
      <c r="D331" s="7" t="s">
        <v>377</v>
      </c>
      <c r="F331" s="7" t="s">
        <v>362</v>
      </c>
      <c r="G331" s="17">
        <v>103</v>
      </c>
      <c r="H331" s="17">
        <v>1</v>
      </c>
    </row>
    <row r="332" spans="1:8" ht="17" hidden="1" customHeight="1" x14ac:dyDescent="0.35">
      <c r="A332" s="7" t="str">
        <f t="shared" si="10"/>
        <v xml:space="preserve">103.2 </v>
      </c>
      <c r="B332" t="str">
        <f t="shared" si="11"/>
        <v>PASSED</v>
      </c>
      <c r="C332" s="15" t="s">
        <v>243</v>
      </c>
      <c r="G332" s="17">
        <v>103</v>
      </c>
      <c r="H332" s="17">
        <v>2</v>
      </c>
    </row>
    <row r="333" spans="1:8" ht="17" hidden="1" customHeight="1" x14ac:dyDescent="0.35">
      <c r="A333" s="7" t="str">
        <f t="shared" si="10"/>
        <v xml:space="preserve">103.3 </v>
      </c>
      <c r="B333" t="str">
        <f t="shared" si="11"/>
        <v>PASSED</v>
      </c>
      <c r="C333" s="15" t="s">
        <v>83</v>
      </c>
      <c r="G333" s="19">
        <v>103</v>
      </c>
      <c r="H333" s="17">
        <v>3</v>
      </c>
    </row>
    <row r="334" spans="1:8" ht="17" hidden="1" customHeight="1" x14ac:dyDescent="0.35">
      <c r="A334" s="7" t="str">
        <f t="shared" si="10"/>
        <v xml:space="preserve">103.4 </v>
      </c>
      <c r="B334" t="str">
        <f t="shared" si="11"/>
        <v>PASSED</v>
      </c>
      <c r="C334" s="15" t="s">
        <v>296</v>
      </c>
      <c r="G334" s="17">
        <v>103</v>
      </c>
      <c r="H334" s="17">
        <v>4</v>
      </c>
    </row>
    <row r="335" spans="1:8" ht="17" hidden="1" customHeight="1" x14ac:dyDescent="0.35">
      <c r="A335" s="7" t="str">
        <f t="shared" si="10"/>
        <v xml:space="preserve">103.5 </v>
      </c>
      <c r="B335" t="str">
        <f t="shared" si="11"/>
        <v>PASSED</v>
      </c>
      <c r="C335" s="15" t="s">
        <v>289</v>
      </c>
      <c r="G335" s="17">
        <v>103</v>
      </c>
      <c r="H335" s="17">
        <v>5</v>
      </c>
    </row>
    <row r="336" spans="1:8" ht="17" hidden="1" customHeight="1" x14ac:dyDescent="0.35">
      <c r="A336" s="7" t="str">
        <f t="shared" si="10"/>
        <v xml:space="preserve">103.6 </v>
      </c>
      <c r="B336" t="str">
        <f t="shared" si="11"/>
        <v>PASSED</v>
      </c>
      <c r="C336" s="15" t="s">
        <v>324</v>
      </c>
      <c r="G336" s="17">
        <v>103</v>
      </c>
      <c r="H336" s="17">
        <v>6</v>
      </c>
    </row>
    <row r="337" spans="1:8" ht="17" hidden="1" customHeight="1" x14ac:dyDescent="0.35">
      <c r="A337" s="7" t="str">
        <f t="shared" si="10"/>
        <v xml:space="preserve">104.1 </v>
      </c>
      <c r="B337" t="str">
        <f t="shared" si="11"/>
        <v>PASSED</v>
      </c>
      <c r="C337" s="15" t="s">
        <v>113</v>
      </c>
      <c r="G337" s="19">
        <v>104</v>
      </c>
      <c r="H337" s="17">
        <v>1</v>
      </c>
    </row>
    <row r="338" spans="1:8" ht="17" hidden="1" customHeight="1" x14ac:dyDescent="0.35">
      <c r="A338" s="7" t="str">
        <f t="shared" si="10"/>
        <v xml:space="preserve">105.1 </v>
      </c>
      <c r="B338" t="str">
        <f t="shared" si="11"/>
        <v>PASSED</v>
      </c>
      <c r="C338" s="15" t="s">
        <v>208</v>
      </c>
      <c r="G338" s="17">
        <v>105</v>
      </c>
      <c r="H338" s="17">
        <v>1</v>
      </c>
    </row>
    <row r="339" spans="1:8" ht="17" hidden="1" customHeight="1" x14ac:dyDescent="0.35">
      <c r="A339" s="7" t="str">
        <f t="shared" si="10"/>
        <v xml:space="preserve">105.2 </v>
      </c>
      <c r="B339" t="str">
        <f t="shared" si="11"/>
        <v>PASSED</v>
      </c>
      <c r="C339" s="15" t="s">
        <v>13</v>
      </c>
      <c r="G339" s="19">
        <v>105</v>
      </c>
      <c r="H339" s="17">
        <v>2</v>
      </c>
    </row>
    <row r="340" spans="1:8" ht="30.5" customHeight="1" x14ac:dyDescent="0.35">
      <c r="A340" s="7" t="str">
        <f t="shared" si="10"/>
        <v xml:space="preserve">105.3 </v>
      </c>
      <c r="B340" t="str">
        <f t="shared" si="11"/>
        <v>FAILED</v>
      </c>
      <c r="C340" s="15" t="s">
        <v>136</v>
      </c>
      <c r="D340" s="7" t="s">
        <v>378</v>
      </c>
      <c r="E340" s="7" t="s">
        <v>355</v>
      </c>
      <c r="F340" s="7" t="s">
        <v>354</v>
      </c>
      <c r="G340" s="17">
        <v>105</v>
      </c>
      <c r="H340" s="17">
        <v>3</v>
      </c>
    </row>
    <row r="341" spans="1:8" ht="17" hidden="1" customHeight="1" x14ac:dyDescent="0.35">
      <c r="A341" s="7" t="str">
        <f t="shared" si="10"/>
        <v xml:space="preserve">105.4 </v>
      </c>
      <c r="B341" t="str">
        <f t="shared" si="11"/>
        <v>PASSED</v>
      </c>
      <c r="C341" s="15" t="s">
        <v>104</v>
      </c>
      <c r="G341" s="19">
        <v>105</v>
      </c>
      <c r="H341" s="17">
        <v>4</v>
      </c>
    </row>
    <row r="342" spans="1:8" ht="17" hidden="1" customHeight="1" x14ac:dyDescent="0.35">
      <c r="A342" s="7" t="str">
        <f t="shared" si="10"/>
        <v xml:space="preserve">105.5 </v>
      </c>
      <c r="B342" t="str">
        <f t="shared" si="11"/>
        <v>PASSED</v>
      </c>
      <c r="C342" s="15" t="s">
        <v>143</v>
      </c>
      <c r="G342" s="17">
        <v>105</v>
      </c>
      <c r="H342" s="17">
        <v>5</v>
      </c>
    </row>
    <row r="343" spans="1:8" ht="17" hidden="1" customHeight="1" x14ac:dyDescent="0.35">
      <c r="A343" s="7" t="str">
        <f t="shared" si="10"/>
        <v xml:space="preserve">105.6 </v>
      </c>
      <c r="B343" t="str">
        <f t="shared" si="11"/>
        <v>PASSED</v>
      </c>
      <c r="C343" s="15" t="s">
        <v>24</v>
      </c>
      <c r="G343" s="19">
        <v>105</v>
      </c>
      <c r="H343" s="17">
        <v>6</v>
      </c>
    </row>
  </sheetData>
  <autoFilter ref="A6:F343" xr:uid="{0E45186F-163D-43CA-BFD2-85ACCE2573B3}">
    <filterColumn colId="1">
      <filters>
        <filter val="FAILED"/>
      </filters>
    </filterColumn>
  </autoFilter>
  <sortState xmlns:xlrd2="http://schemas.microsoft.com/office/spreadsheetml/2017/richdata2" ref="A7:L343">
    <sortCondition ref="G7:G343"/>
    <sortCondition ref="H7:H343"/>
    <sortCondition ref="I7:I343"/>
    <sortCondition ref="J7:J343"/>
    <sortCondition ref="K7:K343"/>
    <sortCondition ref="L7:L343"/>
  </sortState>
  <conditionalFormatting sqref="B1:B344">
    <cfRule type="cellIs" dxfId="1" priority="1" operator="equal">
      <formula>"FAILED"</formula>
    </cfRule>
    <cfRule type="cellIs" dxfId="0" priority="2" operator="equal">
      <formula>"PASSED"</formula>
    </cfRule>
  </conditionalFormatting>
  <pageMargins left="0.7" right="0.7" top="0.75" bottom="0.75" header="0.3" footer="0.3"/>
  <pageSetup orientation="landscape" r:id="rId1"/>
  <drawing r:id="rId2"/>
  <legacyDrawing r:id="rId3"/>
  <oleObjects>
    <mc:AlternateContent xmlns:mc="http://schemas.openxmlformats.org/markup-compatibility/2006">
      <mc:Choice Requires="x14">
        <oleObject progId="Package2" shapeId="1026" r:id="rId4">
          <objectPr defaultSize="0" autoPict="0" r:id="rId5">
            <anchor moveWithCells="1">
              <from>
                <xdr:col>4</xdr:col>
                <xdr:colOff>25400</xdr:colOff>
                <xdr:row>26</xdr:row>
                <xdr:rowOff>12700</xdr:rowOff>
              </from>
              <to>
                <xdr:col>4</xdr:col>
                <xdr:colOff>400050</xdr:colOff>
                <xdr:row>26</xdr:row>
                <xdr:rowOff>368300</xdr:rowOff>
              </to>
            </anchor>
          </objectPr>
        </oleObject>
      </mc:Choice>
      <mc:Fallback>
        <oleObject progId="Package2" shapeId="1026" r:id="rId4"/>
      </mc:Fallback>
    </mc:AlternateContent>
    <mc:AlternateContent xmlns:mc="http://schemas.openxmlformats.org/markup-compatibility/2006">
      <mc:Choice Requires="x14">
        <oleObject progId="Package2" shapeId="1028" r:id="rId6">
          <objectPr defaultSize="0" autoPict="0" r:id="rId7">
            <anchor moveWithCells="1">
              <from>
                <xdr:col>4</xdr:col>
                <xdr:colOff>0</xdr:colOff>
                <xdr:row>32</xdr:row>
                <xdr:rowOff>0</xdr:rowOff>
              </from>
              <to>
                <xdr:col>4</xdr:col>
                <xdr:colOff>393700</xdr:colOff>
                <xdr:row>32</xdr:row>
                <xdr:rowOff>368300</xdr:rowOff>
              </to>
            </anchor>
          </objectPr>
        </oleObject>
      </mc:Choice>
      <mc:Fallback>
        <oleObject progId="Package2" shapeId="1028" r:id="rId6"/>
      </mc:Fallback>
    </mc:AlternateContent>
    <mc:AlternateContent xmlns:mc="http://schemas.openxmlformats.org/markup-compatibility/2006">
      <mc:Choice Requires="x14">
        <oleObject progId="Package2" shapeId="1029" r:id="rId8">
          <objectPr defaultSize="0" autoPict="0" r:id="rId9">
            <anchor moveWithCells="1">
              <from>
                <xdr:col>4</xdr:col>
                <xdr:colOff>0</xdr:colOff>
                <xdr:row>33</xdr:row>
                <xdr:rowOff>0</xdr:rowOff>
              </from>
              <to>
                <xdr:col>4</xdr:col>
                <xdr:colOff>514350</xdr:colOff>
                <xdr:row>85</xdr:row>
                <xdr:rowOff>323850</xdr:rowOff>
              </to>
            </anchor>
          </objectPr>
        </oleObject>
      </mc:Choice>
      <mc:Fallback>
        <oleObject progId="Package2" shapeId="1029" r:id="rId8"/>
      </mc:Fallback>
    </mc:AlternateContent>
    <mc:AlternateContent xmlns:mc="http://schemas.openxmlformats.org/markup-compatibility/2006">
      <mc:Choice Requires="x14">
        <oleObject progId="Package2" shapeId="1030" r:id="rId10">
          <objectPr defaultSize="0" autoPict="0" r:id="rId11">
            <anchor moveWithCells="1">
              <from>
                <xdr:col>4</xdr:col>
                <xdr:colOff>0</xdr:colOff>
                <xdr:row>86</xdr:row>
                <xdr:rowOff>0</xdr:rowOff>
              </from>
              <to>
                <xdr:col>4</xdr:col>
                <xdr:colOff>666750</xdr:colOff>
                <xdr:row>97</xdr:row>
                <xdr:rowOff>330200</xdr:rowOff>
              </to>
            </anchor>
          </objectPr>
        </oleObject>
      </mc:Choice>
      <mc:Fallback>
        <oleObject progId="Package2" shapeId="1030" r:id="rId10"/>
      </mc:Fallback>
    </mc:AlternateContent>
    <mc:AlternateContent xmlns:mc="http://schemas.openxmlformats.org/markup-compatibility/2006">
      <mc:Choice Requires="x14">
        <oleObject progId="Package2" shapeId="1032" r:id="rId12">
          <objectPr defaultSize="0" autoPict="0" r:id="rId13">
            <anchor moveWithCells="1">
              <from>
                <xdr:col>4</xdr:col>
                <xdr:colOff>0</xdr:colOff>
                <xdr:row>160</xdr:row>
                <xdr:rowOff>0</xdr:rowOff>
              </from>
              <to>
                <xdr:col>4</xdr:col>
                <xdr:colOff>882650</xdr:colOff>
                <xdr:row>174</xdr:row>
                <xdr:rowOff>330200</xdr:rowOff>
              </to>
            </anchor>
          </objectPr>
        </oleObject>
      </mc:Choice>
      <mc:Fallback>
        <oleObject progId="Package2" shapeId="1032" r:id="rId12"/>
      </mc:Fallback>
    </mc:AlternateContent>
    <mc:AlternateContent xmlns:mc="http://schemas.openxmlformats.org/markup-compatibility/2006">
      <mc:Choice Requires="x14">
        <oleObject progId="Package2" shapeId="1033" r:id="rId14">
          <objectPr defaultSize="0" autoPict="0" r:id="rId15">
            <anchor moveWithCells="1">
              <from>
                <xdr:col>4</xdr:col>
                <xdr:colOff>0</xdr:colOff>
                <xdr:row>175</xdr:row>
                <xdr:rowOff>0</xdr:rowOff>
              </from>
              <to>
                <xdr:col>4</xdr:col>
                <xdr:colOff>393700</xdr:colOff>
                <xdr:row>176</xdr:row>
                <xdr:rowOff>6350</xdr:rowOff>
              </to>
            </anchor>
          </objectPr>
        </oleObject>
      </mc:Choice>
      <mc:Fallback>
        <oleObject progId="Package2" shapeId="1033" r:id="rId14"/>
      </mc:Fallback>
    </mc:AlternateContent>
    <mc:AlternateContent xmlns:mc="http://schemas.openxmlformats.org/markup-compatibility/2006">
      <mc:Choice Requires="x14">
        <oleObject progId="Package2" shapeId="1034" r:id="rId16">
          <objectPr defaultSize="0" autoPict="0" r:id="rId17">
            <anchor moveWithCells="1">
              <from>
                <xdr:col>4</xdr:col>
                <xdr:colOff>0</xdr:colOff>
                <xdr:row>179</xdr:row>
                <xdr:rowOff>0</xdr:rowOff>
              </from>
              <to>
                <xdr:col>4</xdr:col>
                <xdr:colOff>387350</xdr:colOff>
                <xdr:row>179</xdr:row>
                <xdr:rowOff>387350</xdr:rowOff>
              </to>
            </anchor>
          </objectPr>
        </oleObject>
      </mc:Choice>
      <mc:Fallback>
        <oleObject progId="Package2" shapeId="1034" r:id="rId16"/>
      </mc:Fallback>
    </mc:AlternateContent>
    <mc:AlternateContent xmlns:mc="http://schemas.openxmlformats.org/markup-compatibility/2006">
      <mc:Choice Requires="x14">
        <oleObject progId="Package2" shapeId="1035" r:id="rId18">
          <objectPr defaultSize="0" autoPict="0" r:id="rId19">
            <anchor moveWithCells="1">
              <from>
                <xdr:col>4</xdr:col>
                <xdr:colOff>69850</xdr:colOff>
                <xdr:row>238</xdr:row>
                <xdr:rowOff>0</xdr:rowOff>
              </from>
              <to>
                <xdr:col>4</xdr:col>
                <xdr:colOff>419100</xdr:colOff>
                <xdr:row>247</xdr:row>
                <xdr:rowOff>349250</xdr:rowOff>
              </to>
            </anchor>
          </objectPr>
        </oleObject>
      </mc:Choice>
      <mc:Fallback>
        <oleObject progId="Package2" shapeId="1035" r:id="rId18"/>
      </mc:Fallback>
    </mc:AlternateContent>
    <mc:AlternateContent xmlns:mc="http://schemas.openxmlformats.org/markup-compatibility/2006">
      <mc:Choice Requires="x14">
        <oleObject progId="Package2" shapeId="1036" r:id="rId20">
          <objectPr defaultSize="0" autoPict="0" r:id="rId21">
            <anchor moveWithCells="1">
              <from>
                <xdr:col>4</xdr:col>
                <xdr:colOff>69850</xdr:colOff>
                <xdr:row>339</xdr:row>
                <xdr:rowOff>25400</xdr:rowOff>
              </from>
              <to>
                <xdr:col>4</xdr:col>
                <xdr:colOff>457200</xdr:colOff>
                <xdr:row>339</xdr:row>
                <xdr:rowOff>361950</xdr:rowOff>
              </to>
            </anchor>
          </objectPr>
        </oleObject>
      </mc:Choice>
      <mc:Fallback>
        <oleObject progId="Package2" shapeId="1036" r:id="rId20"/>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1E9D9E8C516145ACFBCB6BAA5EA879" ma:contentTypeVersion="18" ma:contentTypeDescription="Create a new document." ma:contentTypeScope="" ma:versionID="2a2f1d7922f04b277a2f685ca03032dc">
  <xsd:schema xmlns:xsd="http://www.w3.org/2001/XMLSchema" xmlns:xs="http://www.w3.org/2001/XMLSchema" xmlns:p="http://schemas.microsoft.com/office/2006/metadata/properties" xmlns:ns2="c23bcc05-bb70-448c-b869-ca05feb44454" xmlns:ns3="636f7450-4f64-45f7-aa6c-f98af71a66c2" targetNamespace="http://schemas.microsoft.com/office/2006/metadata/properties" ma:root="true" ma:fieldsID="e36422c9d7f3f2cf8f1f8e714f1f01d7" ns2:_="" ns3:_="">
    <xsd:import namespace="c23bcc05-bb70-448c-b869-ca05feb44454"/>
    <xsd:import namespace="636f7450-4f64-45f7-aa6c-f98af71a66c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3bcc05-bb70-448c-b869-ca05feb444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19baf7f-2ee6-4b6f-b5be-33529f278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6f7450-4f64-45f7-aa6c-f98af71a66c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af25e87-4811-4e47-9d32-60b0716b28e5}" ma:internalName="TaxCatchAll" ma:showField="CatchAllData" ma:web="636f7450-4f64-45f7-aa6c-f98af71a66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23bcc05-bb70-448c-b869-ca05feb44454">
      <Terms xmlns="http://schemas.microsoft.com/office/infopath/2007/PartnerControls"/>
    </lcf76f155ced4ddcb4097134ff3c332f>
    <TaxCatchAll xmlns="636f7450-4f64-45f7-aa6c-f98af71a66c2" xsi:nil="true"/>
  </documentManagement>
</p:properties>
</file>

<file path=customXml/itemProps1.xml><?xml version="1.0" encoding="utf-8"?>
<ds:datastoreItem xmlns:ds="http://schemas.openxmlformats.org/officeDocument/2006/customXml" ds:itemID="{3DEF485D-7429-4622-8A9C-7A0C094A16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3bcc05-bb70-448c-b869-ca05feb44454"/>
    <ds:schemaRef ds:uri="636f7450-4f64-45f7-aa6c-f98af71a6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DE07B-4DE4-4CB5-93FB-8B3AD6DE2355}">
  <ds:schemaRefs>
    <ds:schemaRef ds:uri="http://schemas.microsoft.com/sharepoint/v3/contenttype/forms"/>
  </ds:schemaRefs>
</ds:datastoreItem>
</file>

<file path=customXml/itemProps3.xml><?xml version="1.0" encoding="utf-8"?>
<ds:datastoreItem xmlns:ds="http://schemas.openxmlformats.org/officeDocument/2006/customXml" ds:itemID="{D4344293-AA61-4769-B199-0BF3041967BD}">
  <ds:schemaRefs>
    <ds:schemaRef ds:uri="http://schemas.microsoft.com/office/2006/metadata/properties"/>
    <ds:schemaRef ds:uri="http://schemas.microsoft.com/office/infopath/2007/PartnerControls"/>
    <ds:schemaRef ds:uri="c23bcc05-bb70-448c-b869-ca05feb44454"/>
    <ds:schemaRef ds:uri="636f7450-4f64-45f7-aa6c-f98af71a6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Greene</dc:creator>
  <cp:lastModifiedBy>Evan Greene</cp:lastModifiedBy>
  <dcterms:created xsi:type="dcterms:W3CDTF">2026-03-26T13:46:58Z</dcterms:created>
  <dcterms:modified xsi:type="dcterms:W3CDTF">2026-03-26T19:05:33Z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0x0101005D1E9D9E8C516145ACFBCB6BAA5EA879</vt:lpwstr>
  </property>
  <property fmtid="{D5CDD505-2E9C-101B-9397-08002B2CF9AE}" pid="3" name="MediaServiceImageTags">
    <vt:lpwstr/>
  </property>
</Properties>
</file>