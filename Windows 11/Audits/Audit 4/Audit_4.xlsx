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tumfoundation.sharepoint.com/sites/IT/Shared Documents/documentation/Horne/Controls Assessments/IS17 Review Baseline Workstation &amp; Server Image (Annually)/2026/Endpoint/Audits/Audit 4/"/>
    </mc:Choice>
  </mc:AlternateContent>
  <xr:revisionPtr revIDLastSave="546" documentId="8_{04E70FB9-D1D4-4653-8F85-04D9A6DC7712}" xr6:coauthVersionLast="47" xr6:coauthVersionMax="47" xr10:uidLastSave="{E2D30F96-4DBC-4E9A-9BF3-4E76CF31D8F8}"/>
  <bookViews>
    <workbookView xWindow="-110" yWindow="-110" windowWidth="38620" windowHeight="21100" xr2:uid="{6D423A4A-7A00-466B-B920-3508EE6F38B8}"/>
  </bookViews>
  <sheets>
    <sheet name="Sheet1" sheetId="1" r:id="rId1"/>
  </sheets>
  <definedNames>
    <definedName name="_xlnm._FilterDatabase" localSheetId="0" hidden="1">Sheet1!$A$6:$F$465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1" l="1"/>
  <c r="B333" i="1"/>
  <c r="B335" i="1"/>
  <c r="B116" i="1"/>
  <c r="B16" i="1"/>
  <c r="B405" i="1"/>
  <c r="B232" i="1"/>
  <c r="B288" i="1"/>
  <c r="B347" i="1"/>
  <c r="B127" i="1"/>
  <c r="B56" i="1"/>
  <c r="B144" i="1"/>
  <c r="B234" i="1"/>
  <c r="B149" i="1"/>
  <c r="B168" i="1"/>
  <c r="B351" i="1"/>
  <c r="B59" i="1"/>
  <c r="B422" i="1"/>
  <c r="B456" i="1"/>
  <c r="B279" i="1"/>
  <c r="B23" i="1"/>
  <c r="B89" i="1"/>
  <c r="B141" i="1"/>
  <c r="B152" i="1"/>
  <c r="B173" i="1"/>
  <c r="B73" i="1"/>
  <c r="B292" i="1"/>
  <c r="B115" i="1"/>
  <c r="B431" i="1"/>
  <c r="B118" i="1"/>
  <c r="B111" i="1"/>
  <c r="B269" i="1"/>
  <c r="B30" i="1"/>
  <c r="B247" i="1"/>
  <c r="B320" i="1"/>
  <c r="B147" i="1"/>
  <c r="B458" i="1"/>
  <c r="B245" i="1"/>
  <c r="B225" i="1"/>
  <c r="B14" i="1"/>
  <c r="B212" i="1"/>
  <c r="B421" i="1"/>
  <c r="B385" i="1"/>
  <c r="B332" i="1"/>
  <c r="B424" i="1"/>
  <c r="B12" i="1"/>
  <c r="B18" i="1"/>
  <c r="B305" i="1"/>
  <c r="B379" i="1"/>
  <c r="B359" i="1"/>
  <c r="B178" i="1"/>
  <c r="B282" i="1"/>
  <c r="B294" i="1"/>
  <c r="B192" i="1"/>
  <c r="B316" i="1"/>
  <c r="B374" i="1"/>
  <c r="B213" i="1"/>
  <c r="B453" i="1"/>
  <c r="B82" i="1"/>
  <c r="B84" i="1"/>
  <c r="B342" i="1"/>
  <c r="B13" i="1"/>
  <c r="B129" i="1"/>
  <c r="B255" i="1"/>
  <c r="B266" i="1"/>
  <c r="B32" i="1"/>
  <c r="B156" i="1"/>
  <c r="B33" i="1"/>
  <c r="B81" i="1"/>
  <c r="B252" i="1"/>
  <c r="B95" i="1"/>
  <c r="B185" i="1"/>
  <c r="B331" i="1"/>
  <c r="B371" i="1"/>
  <c r="B319" i="1"/>
  <c r="B257" i="1"/>
  <c r="B183" i="1"/>
  <c r="B433" i="1"/>
  <c r="B278" i="1"/>
  <c r="B344" i="1"/>
  <c r="B77" i="1"/>
  <c r="B97" i="1"/>
  <c r="B190" i="1"/>
  <c r="B133" i="1"/>
  <c r="B438" i="1"/>
  <c r="B459" i="1"/>
  <c r="B272" i="1"/>
  <c r="B270" i="1"/>
  <c r="B293" i="1"/>
  <c r="B452" i="1"/>
  <c r="B215" i="1"/>
  <c r="B75" i="1"/>
  <c r="B308" i="1"/>
  <c r="B38" i="1"/>
  <c r="B420" i="1"/>
  <c r="B143" i="1"/>
  <c r="B451" i="1"/>
  <c r="B317" i="1"/>
  <c r="B101" i="1"/>
  <c r="B128" i="1"/>
  <c r="B343" i="1"/>
  <c r="B172" i="1"/>
  <c r="B243" i="1"/>
  <c r="B231" i="1"/>
  <c r="B348" i="1"/>
  <c r="B201" i="1"/>
  <c r="B184" i="1"/>
  <c r="B57" i="1"/>
  <c r="B36" i="1"/>
  <c r="B88" i="1"/>
  <c r="B428" i="1"/>
  <c r="B64" i="1"/>
  <c r="B360" i="1"/>
  <c r="B244" i="1"/>
  <c r="B268" i="1"/>
  <c r="B174" i="1"/>
  <c r="B203" i="1"/>
  <c r="B194" i="1"/>
  <c r="B167" i="1"/>
  <c r="B419" i="1"/>
  <c r="B113" i="1"/>
  <c r="B50" i="1"/>
  <c r="B123" i="1"/>
  <c r="B69" i="1"/>
  <c r="B430" i="1"/>
  <c r="B96" i="1"/>
  <c r="B298" i="1"/>
  <c r="B197" i="1"/>
  <c r="B21" i="1"/>
  <c r="B188" i="1"/>
  <c r="B380" i="1"/>
  <c r="B330" i="1"/>
  <c r="B187" i="1"/>
  <c r="B138" i="1"/>
  <c r="B230" i="1"/>
  <c r="B373" i="1"/>
  <c r="B8" i="1"/>
  <c r="B10" i="1"/>
  <c r="B321" i="1"/>
  <c r="B295" i="1"/>
  <c r="B80" i="1"/>
  <c r="B42" i="1"/>
  <c r="B398" i="1"/>
  <c r="B416" i="1"/>
  <c r="B146" i="1"/>
  <c r="B199" i="1"/>
  <c r="B15" i="1"/>
  <c r="B434" i="1"/>
  <c r="B29" i="1"/>
  <c r="B423" i="1"/>
  <c r="B175" i="1"/>
  <c r="B396" i="1"/>
  <c r="B211" i="1"/>
  <c r="B391" i="1"/>
  <c r="B352" i="1"/>
  <c r="B248" i="1"/>
  <c r="B397" i="1"/>
  <c r="B108" i="1"/>
  <c r="B132" i="1"/>
  <c r="B314" i="1"/>
  <c r="B275" i="1"/>
  <c r="B160" i="1"/>
  <c r="B122" i="1"/>
  <c r="B283" i="1"/>
  <c r="B418" i="1"/>
  <c r="B345" i="1"/>
  <c r="B195" i="1"/>
  <c r="B378" i="1"/>
  <c r="B253" i="1"/>
  <c r="B311" i="1"/>
  <c r="B31" i="1"/>
  <c r="B263" i="1"/>
  <c r="B182" i="1"/>
  <c r="B415" i="1"/>
  <c r="B390" i="1"/>
  <c r="B98" i="1"/>
  <c r="B281" i="1"/>
  <c r="B310" i="1"/>
  <c r="B447" i="1"/>
  <c r="B222" i="1"/>
  <c r="B427" i="1"/>
  <c r="B262" i="1"/>
  <c r="B340" i="1"/>
  <c r="B457" i="1"/>
  <c r="B383" i="1"/>
  <c r="B446" i="1"/>
  <c r="B78" i="1"/>
  <c r="B302" i="1"/>
  <c r="B276" i="1"/>
  <c r="B445" i="1"/>
  <c r="B400" i="1"/>
  <c r="B87" i="1"/>
  <c r="B45" i="1"/>
  <c r="B291" i="1"/>
  <c r="B464" i="1"/>
  <c r="B363" i="1"/>
  <c r="B19" i="1"/>
  <c r="B22" i="1"/>
  <c r="B83" i="1"/>
  <c r="B304" i="1"/>
  <c r="B365" i="1"/>
  <c r="B389" i="1"/>
  <c r="B312" i="1"/>
  <c r="B106" i="1"/>
  <c r="B410" i="1"/>
  <c r="B140" i="1"/>
  <c r="B58" i="1"/>
  <c r="B131" i="1"/>
  <c r="B299" i="1"/>
  <c r="B287" i="1"/>
  <c r="B191" i="1"/>
  <c r="B426" i="1"/>
  <c r="B109" i="1"/>
  <c r="B79" i="1"/>
  <c r="B441" i="1"/>
  <c r="B100" i="1"/>
  <c r="B48" i="1"/>
  <c r="B323" i="1"/>
  <c r="B157" i="1"/>
  <c r="B154" i="1"/>
  <c r="B37" i="1"/>
  <c r="B409" i="1"/>
  <c r="B35" i="1"/>
  <c r="B150" i="1"/>
  <c r="B240" i="1"/>
  <c r="B94" i="1"/>
  <c r="B142" i="1"/>
  <c r="B435" i="1"/>
  <c r="B145" i="1"/>
  <c r="B76" i="1"/>
  <c r="B164" i="1"/>
  <c r="B449" i="1"/>
  <c r="B227" i="1"/>
  <c r="B290" i="1"/>
  <c r="B307" i="1"/>
  <c r="B285" i="1"/>
  <c r="B425" i="1"/>
  <c r="B134" i="1"/>
  <c r="B171" i="1"/>
  <c r="B217" i="1"/>
  <c r="B46" i="1"/>
  <c r="B336" i="1"/>
  <c r="B376" i="1"/>
  <c r="B200" i="1"/>
  <c r="B66" i="1"/>
  <c r="B386" i="1"/>
  <c r="B387" i="1"/>
  <c r="B11" i="1"/>
  <c r="B17" i="1"/>
  <c r="B40" i="1"/>
  <c r="B403" i="1"/>
  <c r="B117" i="1"/>
  <c r="B465" i="1"/>
  <c r="B439" i="1"/>
  <c r="B130" i="1"/>
  <c r="B325" i="1"/>
  <c r="B49" i="1"/>
  <c r="B377" i="1"/>
  <c r="B63" i="1"/>
  <c r="B259" i="1"/>
  <c r="B70" i="1"/>
  <c r="B208" i="1"/>
  <c r="B404" i="1"/>
  <c r="B67" i="1"/>
  <c r="B382" i="1"/>
  <c r="B153" i="1"/>
  <c r="B286" i="1"/>
  <c r="B125" i="1"/>
  <c r="B432" i="1"/>
  <c r="B355" i="1"/>
  <c r="B264" i="1"/>
  <c r="B364" i="1"/>
  <c r="B162" i="1"/>
  <c r="B327" i="1"/>
  <c r="B105" i="1"/>
  <c r="B260" i="1"/>
  <c r="B148" i="1"/>
  <c r="B324" i="1"/>
  <c r="B406" i="1"/>
  <c r="B51" i="1"/>
  <c r="B341" i="1"/>
  <c r="B93" i="1"/>
  <c r="B326" i="1"/>
  <c r="B297" i="1"/>
  <c r="B233" i="1"/>
  <c r="B126" i="1"/>
  <c r="B444" i="1"/>
  <c r="B41" i="1"/>
  <c r="B407" i="1"/>
  <c r="B271" i="1"/>
  <c r="B163" i="1"/>
  <c r="B166" i="1"/>
  <c r="B181" i="1"/>
  <c r="B440" i="1"/>
  <c r="B204" i="1"/>
  <c r="B228" i="1"/>
  <c r="B267" i="1"/>
  <c r="B356" i="1"/>
  <c r="B219" i="1"/>
  <c r="B177" i="1"/>
  <c r="B7" i="1"/>
  <c r="B455" i="1"/>
  <c r="B107" i="1"/>
  <c r="B136" i="1"/>
  <c r="B110" i="1"/>
  <c r="B306" i="1"/>
  <c r="B60" i="1"/>
  <c r="B414" i="1"/>
  <c r="B43" i="1"/>
  <c r="B350" i="1"/>
  <c r="B354" i="1"/>
  <c r="B284" i="1"/>
  <c r="B104" i="1"/>
  <c r="B86" i="1"/>
  <c r="B159" i="1"/>
  <c r="B370" i="1"/>
  <c r="B261" i="1"/>
  <c r="B280" i="1"/>
  <c r="B223" i="1"/>
  <c r="B241" i="1"/>
  <c r="B206" i="1"/>
  <c r="B139" i="1"/>
  <c r="B258" i="1"/>
  <c r="B329" i="1"/>
  <c r="B250" i="1"/>
  <c r="B462" i="1"/>
  <c r="B207" i="1"/>
  <c r="B273" i="1"/>
  <c r="B436" i="1"/>
  <c r="B237" i="1"/>
  <c r="B198" i="1"/>
  <c r="B392" i="1"/>
  <c r="B161" i="1"/>
  <c r="B121" i="1"/>
  <c r="B318" i="1"/>
  <c r="B202" i="1"/>
  <c r="B303" i="1"/>
  <c r="B238" i="1"/>
  <c r="B209" i="1"/>
  <c r="B124" i="1"/>
  <c r="B54" i="1"/>
  <c r="B193" i="1"/>
  <c r="B103" i="1"/>
  <c r="B90" i="1"/>
  <c r="B27" i="1"/>
  <c r="B120" i="1"/>
  <c r="B102" i="1"/>
  <c r="B372" i="1"/>
  <c r="B417" i="1"/>
  <c r="B460" i="1"/>
  <c r="B448" i="1"/>
  <c r="B367" i="1"/>
  <c r="B34" i="1"/>
  <c r="B39" i="1"/>
  <c r="B112" i="1"/>
  <c r="B179" i="1"/>
  <c r="B443" i="1"/>
  <c r="B52" i="1"/>
  <c r="B357" i="1"/>
  <c r="B399" i="1"/>
  <c r="B274" i="1"/>
  <c r="B68" i="1"/>
  <c r="B99" i="1"/>
  <c r="B353" i="1"/>
  <c r="B411" i="1"/>
  <c r="B300" i="1"/>
  <c r="B328" i="1"/>
  <c r="B289" i="1"/>
  <c r="B242" i="1"/>
  <c r="B375" i="1"/>
  <c r="B450" i="1"/>
  <c r="B44" i="1"/>
  <c r="B339" i="1"/>
  <c r="B216" i="1"/>
  <c r="B437" i="1"/>
  <c r="B249" i="1"/>
  <c r="B338" i="1"/>
  <c r="B229" i="1"/>
  <c r="B224" i="1"/>
  <c r="B463" i="1"/>
  <c r="B394" i="1"/>
  <c r="B395" i="1"/>
  <c r="B334" i="1"/>
  <c r="B226" i="1"/>
  <c r="B337" i="1"/>
  <c r="B429" i="1"/>
  <c r="B236" i="1"/>
  <c r="B454" i="1"/>
  <c r="B401" i="1"/>
  <c r="B62" i="1"/>
  <c r="B114" i="1"/>
  <c r="B196" i="1"/>
  <c r="B218" i="1"/>
  <c r="B71" i="1"/>
  <c r="B65" i="1"/>
  <c r="B346" i="1"/>
  <c r="B28" i="1"/>
  <c r="B189" i="1"/>
  <c r="B322" i="1"/>
  <c r="B254" i="1"/>
  <c r="B461" i="1"/>
  <c r="B366" i="1"/>
  <c r="B25" i="1"/>
  <c r="B205" i="1"/>
  <c r="B92" i="1"/>
  <c r="B72" i="1"/>
  <c r="B313" i="1"/>
  <c r="B26" i="1"/>
  <c r="B186" i="1"/>
  <c r="B442" i="1"/>
  <c r="B74" i="1"/>
  <c r="B358" i="1"/>
  <c r="B309" i="1"/>
  <c r="B165" i="1"/>
  <c r="B220" i="1"/>
  <c r="B246" i="1"/>
  <c r="B214" i="1"/>
  <c r="B53" i="1"/>
  <c r="B119" i="1"/>
  <c r="B413" i="1"/>
  <c r="B135" i="1"/>
  <c r="B176" i="1"/>
  <c r="B412" i="1"/>
  <c r="B315" i="1"/>
  <c r="B296" i="1"/>
  <c r="B368" i="1"/>
  <c r="B384" i="1"/>
  <c r="B361" i="1"/>
  <c r="B137" i="1"/>
  <c r="B277" i="1"/>
  <c r="B55" i="1"/>
  <c r="B9" i="1"/>
  <c r="B369" i="1"/>
  <c r="B20" i="1"/>
  <c r="B256" i="1"/>
  <c r="B265" i="1"/>
  <c r="B169" i="1"/>
  <c r="B221" i="1"/>
  <c r="B349" i="1"/>
  <c r="B24" i="1"/>
  <c r="B180" i="1"/>
  <c r="B61" i="1"/>
  <c r="B408" i="1"/>
  <c r="B85" i="1"/>
  <c r="B251" i="1"/>
  <c r="B158" i="1"/>
  <c r="B388" i="1"/>
  <c r="B155" i="1"/>
  <c r="B362" i="1"/>
  <c r="B151" i="1"/>
  <c r="B393" i="1"/>
  <c r="B301" i="1"/>
  <c r="B91" i="1"/>
  <c r="B381" i="1"/>
  <c r="B170" i="1"/>
  <c r="B210" i="1"/>
  <c r="B239" i="1"/>
  <c r="B402" i="1"/>
  <c r="A47" i="1"/>
  <c r="A333" i="1"/>
  <c r="A335" i="1"/>
  <c r="A116" i="1"/>
  <c r="A16" i="1"/>
  <c r="A405" i="1"/>
  <c r="A232" i="1"/>
  <c r="A288" i="1"/>
  <c r="A347" i="1"/>
  <c r="A127" i="1"/>
  <c r="A56" i="1"/>
  <c r="A144" i="1"/>
  <c r="A234" i="1"/>
  <c r="A149" i="1"/>
  <c r="A168" i="1"/>
  <c r="A351" i="1"/>
  <c r="A59" i="1"/>
  <c r="A422" i="1"/>
  <c r="A456" i="1"/>
  <c r="A279" i="1"/>
  <c r="A23" i="1"/>
  <c r="A89" i="1"/>
  <c r="A141" i="1"/>
  <c r="A152" i="1"/>
  <c r="A173" i="1"/>
  <c r="A73" i="1"/>
  <c r="A292" i="1"/>
  <c r="A115" i="1"/>
  <c r="A431" i="1"/>
  <c r="A118" i="1"/>
  <c r="A111" i="1"/>
  <c r="A269" i="1"/>
  <c r="A30" i="1"/>
  <c r="A247" i="1"/>
  <c r="A320" i="1"/>
  <c r="A147" i="1"/>
  <c r="A458" i="1"/>
  <c r="A245" i="1"/>
  <c r="A225" i="1"/>
  <c r="A14" i="1"/>
  <c r="A212" i="1"/>
  <c r="A421" i="1"/>
  <c r="A385" i="1"/>
  <c r="A332" i="1"/>
  <c r="A424" i="1"/>
  <c r="A12" i="1"/>
  <c r="A18" i="1"/>
  <c r="A305" i="1"/>
  <c r="A379" i="1"/>
  <c r="A359" i="1"/>
  <c r="A178" i="1"/>
  <c r="A282" i="1"/>
  <c r="A294" i="1"/>
  <c r="A192" i="1"/>
  <c r="A316" i="1"/>
  <c r="A374" i="1"/>
  <c r="A213" i="1"/>
  <c r="A453" i="1"/>
  <c r="A82" i="1"/>
  <c r="A84" i="1"/>
  <c r="A342" i="1"/>
  <c r="A13" i="1"/>
  <c r="A129" i="1"/>
  <c r="A255" i="1"/>
  <c r="A266" i="1"/>
  <c r="A32" i="1"/>
  <c r="A156" i="1"/>
  <c r="A33" i="1"/>
  <c r="A81" i="1"/>
  <c r="A252" i="1"/>
  <c r="A95" i="1"/>
  <c r="A185" i="1"/>
  <c r="A331" i="1"/>
  <c r="A371" i="1"/>
  <c r="A319" i="1"/>
  <c r="A257" i="1"/>
  <c r="A183" i="1"/>
  <c r="A433" i="1"/>
  <c r="A278" i="1"/>
  <c r="A344" i="1"/>
  <c r="A77" i="1"/>
  <c r="A97" i="1"/>
  <c r="A190" i="1"/>
  <c r="A133" i="1"/>
  <c r="A438" i="1"/>
  <c r="A459" i="1"/>
  <c r="A272" i="1"/>
  <c r="A270" i="1"/>
  <c r="A293" i="1"/>
  <c r="A452" i="1"/>
  <c r="A215" i="1"/>
  <c r="A75" i="1"/>
  <c r="A308" i="1"/>
  <c r="A38" i="1"/>
  <c r="A420" i="1"/>
  <c r="A143" i="1"/>
  <c r="A451" i="1"/>
  <c r="A317" i="1"/>
  <c r="A101" i="1"/>
  <c r="A128" i="1"/>
  <c r="A343" i="1"/>
  <c r="A172" i="1"/>
  <c r="A243" i="1"/>
  <c r="A231" i="1"/>
  <c r="A348" i="1"/>
  <c r="A201" i="1"/>
  <c r="A184" i="1"/>
  <c r="A57" i="1"/>
  <c r="A36" i="1"/>
  <c r="A88" i="1"/>
  <c r="A428" i="1"/>
  <c r="A64" i="1"/>
  <c r="A360" i="1"/>
  <c r="A244" i="1"/>
  <c r="A268" i="1"/>
  <c r="A174" i="1"/>
  <c r="A203" i="1"/>
  <c r="A194" i="1"/>
  <c r="A167" i="1"/>
  <c r="A419" i="1"/>
  <c r="A113" i="1"/>
  <c r="A50" i="1"/>
  <c r="A123" i="1"/>
  <c r="A69" i="1"/>
  <c r="A430" i="1"/>
  <c r="A96" i="1"/>
  <c r="A298" i="1"/>
  <c r="A197" i="1"/>
  <c r="A21" i="1"/>
  <c r="A188" i="1"/>
  <c r="A380" i="1"/>
  <c r="A330" i="1"/>
  <c r="A187" i="1"/>
  <c r="A138" i="1"/>
  <c r="A230" i="1"/>
  <c r="A373" i="1"/>
  <c r="A8" i="1"/>
  <c r="A10" i="1"/>
  <c r="A321" i="1"/>
  <c r="A295" i="1"/>
  <c r="A80" i="1"/>
  <c r="A42" i="1"/>
  <c r="A398" i="1"/>
  <c r="A416" i="1"/>
  <c r="A146" i="1"/>
  <c r="A199" i="1"/>
  <c r="A15" i="1"/>
  <c r="A434" i="1"/>
  <c r="A29" i="1"/>
  <c r="A423" i="1"/>
  <c r="A175" i="1"/>
  <c r="A396" i="1"/>
  <c r="A211" i="1"/>
  <c r="A391" i="1"/>
  <c r="A352" i="1"/>
  <c r="A248" i="1"/>
  <c r="A397" i="1"/>
  <c r="A108" i="1"/>
  <c r="A132" i="1"/>
  <c r="A314" i="1"/>
  <c r="A275" i="1"/>
  <c r="A160" i="1"/>
  <c r="A122" i="1"/>
  <c r="A283" i="1"/>
  <c r="A418" i="1"/>
  <c r="A345" i="1"/>
  <c r="A195" i="1"/>
  <c r="A378" i="1"/>
  <c r="A253" i="1"/>
  <c r="A311" i="1"/>
  <c r="A31" i="1"/>
  <c r="A263" i="1"/>
  <c r="A182" i="1"/>
  <c r="A415" i="1"/>
  <c r="A390" i="1"/>
  <c r="A98" i="1"/>
  <c r="A281" i="1"/>
  <c r="A310" i="1"/>
  <c r="A447" i="1"/>
  <c r="A222" i="1"/>
  <c r="A427" i="1"/>
  <c r="A262" i="1"/>
  <c r="A340" i="1"/>
  <c r="A457" i="1"/>
  <c r="A383" i="1"/>
  <c r="A446" i="1"/>
  <c r="A78" i="1"/>
  <c r="A302" i="1"/>
  <c r="A276" i="1"/>
  <c r="A445" i="1"/>
  <c r="A400" i="1"/>
  <c r="A87" i="1"/>
  <c r="A45" i="1"/>
  <c r="A291" i="1"/>
  <c r="A464" i="1"/>
  <c r="A363" i="1"/>
  <c r="A19" i="1"/>
  <c r="A22" i="1"/>
  <c r="A83" i="1"/>
  <c r="A304" i="1"/>
  <c r="A365" i="1"/>
  <c r="A389" i="1"/>
  <c r="A312" i="1"/>
  <c r="A106" i="1"/>
  <c r="A410" i="1"/>
  <c r="A140" i="1"/>
  <c r="A58" i="1"/>
  <c r="A131" i="1"/>
  <c r="A299" i="1"/>
  <c r="A287" i="1"/>
  <c r="A191" i="1"/>
  <c r="A426" i="1"/>
  <c r="A109" i="1"/>
  <c r="A79" i="1"/>
  <c r="A441" i="1"/>
  <c r="A100" i="1"/>
  <c r="A48" i="1"/>
  <c r="A323" i="1"/>
  <c r="A157" i="1"/>
  <c r="A154" i="1"/>
  <c r="A37" i="1"/>
  <c r="A409" i="1"/>
  <c r="A35" i="1"/>
  <c r="A150" i="1"/>
  <c r="A240" i="1"/>
  <c r="A94" i="1"/>
  <c r="A142" i="1"/>
  <c r="A435" i="1"/>
  <c r="A145" i="1"/>
  <c r="A76" i="1"/>
  <c r="A164" i="1"/>
  <c r="A449" i="1"/>
  <c r="A227" i="1"/>
  <c r="A290" i="1"/>
  <c r="A307" i="1"/>
  <c r="A285" i="1"/>
  <c r="A425" i="1"/>
  <c r="A134" i="1"/>
  <c r="A171" i="1"/>
  <c r="A217" i="1"/>
  <c r="A46" i="1"/>
  <c r="A336" i="1"/>
  <c r="A376" i="1"/>
  <c r="A200" i="1"/>
  <c r="A66" i="1"/>
  <c r="A386" i="1"/>
  <c r="A387" i="1"/>
  <c r="A11" i="1"/>
  <c r="A17" i="1"/>
  <c r="A40" i="1"/>
  <c r="A403" i="1"/>
  <c r="A117" i="1"/>
  <c r="A465" i="1"/>
  <c r="A439" i="1"/>
  <c r="A130" i="1"/>
  <c r="A325" i="1"/>
  <c r="A49" i="1"/>
  <c r="A377" i="1"/>
  <c r="A63" i="1"/>
  <c r="A259" i="1"/>
  <c r="A70" i="1"/>
  <c r="A208" i="1"/>
  <c r="A404" i="1"/>
  <c r="A67" i="1"/>
  <c r="A382" i="1"/>
  <c r="A153" i="1"/>
  <c r="A286" i="1"/>
  <c r="A125" i="1"/>
  <c r="A432" i="1"/>
  <c r="A355" i="1"/>
  <c r="A264" i="1"/>
  <c r="A364" i="1"/>
  <c r="A162" i="1"/>
  <c r="A327" i="1"/>
  <c r="A105" i="1"/>
  <c r="A260" i="1"/>
  <c r="A148" i="1"/>
  <c r="A324" i="1"/>
  <c r="A406" i="1"/>
  <c r="A51" i="1"/>
  <c r="A341" i="1"/>
  <c r="A93" i="1"/>
  <c r="A326" i="1"/>
  <c r="A297" i="1"/>
  <c r="A233" i="1"/>
  <c r="A126" i="1"/>
  <c r="A444" i="1"/>
  <c r="A41" i="1"/>
  <c r="A407" i="1"/>
  <c r="A271" i="1"/>
  <c r="A163" i="1"/>
  <c r="A166" i="1"/>
  <c r="A181" i="1"/>
  <c r="A440" i="1"/>
  <c r="A204" i="1"/>
  <c r="A228" i="1"/>
  <c r="A267" i="1"/>
  <c r="A356" i="1"/>
  <c r="A219" i="1"/>
  <c r="A177" i="1"/>
  <c r="A7" i="1"/>
  <c r="A455" i="1"/>
  <c r="A107" i="1"/>
  <c r="A136" i="1"/>
  <c r="A110" i="1"/>
  <c r="A306" i="1"/>
  <c r="A60" i="1"/>
  <c r="A414" i="1"/>
  <c r="A43" i="1"/>
  <c r="A350" i="1"/>
  <c r="A354" i="1"/>
  <c r="A284" i="1"/>
  <c r="A104" i="1"/>
  <c r="A86" i="1"/>
  <c r="A159" i="1"/>
  <c r="A370" i="1"/>
  <c r="A261" i="1"/>
  <c r="A280" i="1"/>
  <c r="A223" i="1"/>
  <c r="A241" i="1"/>
  <c r="A206" i="1"/>
  <c r="A139" i="1"/>
  <c r="A258" i="1"/>
  <c r="A329" i="1"/>
  <c r="A250" i="1"/>
  <c r="A462" i="1"/>
  <c r="A207" i="1"/>
  <c r="A273" i="1"/>
  <c r="A436" i="1"/>
  <c r="A237" i="1"/>
  <c r="A198" i="1"/>
  <c r="A392" i="1"/>
  <c r="A161" i="1"/>
  <c r="A121" i="1"/>
  <c r="A318" i="1"/>
  <c r="A202" i="1"/>
  <c r="A303" i="1"/>
  <c r="A238" i="1"/>
  <c r="A209" i="1"/>
  <c r="A124" i="1"/>
  <c r="A54" i="1"/>
  <c r="A193" i="1"/>
  <c r="A103" i="1"/>
  <c r="A90" i="1"/>
  <c r="A27" i="1"/>
  <c r="A120" i="1"/>
  <c r="A102" i="1"/>
  <c r="A372" i="1"/>
  <c r="A417" i="1"/>
  <c r="A460" i="1"/>
  <c r="A448" i="1"/>
  <c r="A367" i="1"/>
  <c r="A34" i="1"/>
  <c r="A39" i="1"/>
  <c r="A112" i="1"/>
  <c r="A179" i="1"/>
  <c r="A443" i="1"/>
  <c r="A52" i="1"/>
  <c r="A357" i="1"/>
  <c r="A399" i="1"/>
  <c r="A274" i="1"/>
  <c r="A68" i="1"/>
  <c r="A99" i="1"/>
  <c r="A353" i="1"/>
  <c r="A411" i="1"/>
  <c r="A300" i="1"/>
  <c r="A328" i="1"/>
  <c r="A289" i="1"/>
  <c r="A242" i="1"/>
  <c r="A375" i="1"/>
  <c r="A450" i="1"/>
  <c r="A44" i="1"/>
  <c r="A339" i="1"/>
  <c r="A216" i="1"/>
  <c r="A437" i="1"/>
  <c r="A249" i="1"/>
  <c r="A338" i="1"/>
  <c r="A229" i="1"/>
  <c r="A224" i="1"/>
  <c r="A463" i="1"/>
  <c r="A394" i="1"/>
  <c r="A395" i="1"/>
  <c r="A334" i="1"/>
  <c r="A226" i="1"/>
  <c r="A337" i="1"/>
  <c r="A429" i="1"/>
  <c r="A236" i="1"/>
  <c r="A454" i="1"/>
  <c r="A401" i="1"/>
  <c r="A62" i="1"/>
  <c r="A114" i="1"/>
  <c r="A196" i="1"/>
  <c r="A218" i="1"/>
  <c r="A71" i="1"/>
  <c r="A65" i="1"/>
  <c r="A346" i="1"/>
  <c r="A28" i="1"/>
  <c r="A189" i="1"/>
  <c r="A322" i="1"/>
  <c r="A254" i="1"/>
  <c r="A461" i="1"/>
  <c r="A366" i="1"/>
  <c r="A25" i="1"/>
  <c r="A205" i="1"/>
  <c r="A92" i="1"/>
  <c r="A72" i="1"/>
  <c r="A313" i="1"/>
  <c r="A26" i="1"/>
  <c r="A186" i="1"/>
  <c r="A442" i="1"/>
  <c r="A74" i="1"/>
  <c r="A358" i="1"/>
  <c r="A309" i="1"/>
  <c r="A165" i="1"/>
  <c r="A220" i="1"/>
  <c r="A246" i="1"/>
  <c r="A214" i="1"/>
  <c r="A53" i="1"/>
  <c r="A119" i="1"/>
  <c r="A413" i="1"/>
  <c r="A135" i="1"/>
  <c r="A176" i="1"/>
  <c r="A412" i="1"/>
  <c r="A315" i="1"/>
  <c r="A296" i="1"/>
  <c r="A368" i="1"/>
  <c r="A384" i="1"/>
  <c r="A361" i="1"/>
  <c r="A137" i="1"/>
  <c r="A277" i="1"/>
  <c r="A55" i="1"/>
  <c r="A9" i="1"/>
  <c r="A369" i="1"/>
  <c r="A20" i="1"/>
  <c r="A256" i="1"/>
  <c r="A265" i="1"/>
  <c r="A169" i="1"/>
  <c r="A221" i="1"/>
  <c r="A349" i="1"/>
  <c r="A24" i="1"/>
  <c r="A180" i="1"/>
  <c r="A61" i="1"/>
  <c r="A408" i="1"/>
  <c r="A85" i="1"/>
  <c r="A251" i="1"/>
  <c r="A158" i="1"/>
  <c r="A388" i="1"/>
  <c r="A155" i="1"/>
  <c r="A362" i="1"/>
  <c r="A151" i="1"/>
  <c r="A393" i="1"/>
  <c r="A301" i="1"/>
  <c r="A91" i="1"/>
  <c r="A381" i="1"/>
  <c r="A170" i="1"/>
  <c r="A210" i="1"/>
  <c r="A239" i="1"/>
  <c r="A402" i="1"/>
  <c r="B3" i="1"/>
  <c r="A235" i="1" l="1"/>
  <c r="B235" i="1"/>
  <c r="B1" i="1" l="1"/>
  <c r="B2" i="1"/>
  <c r="B4" i="1" l="1"/>
</calcChain>
</file>

<file path=xl/sharedStrings.xml><?xml version="1.0" encoding="utf-8"?>
<sst xmlns="http://schemas.openxmlformats.org/spreadsheetml/2006/main" count="572" uniqueCount="508">
  <si>
    <t>Passed</t>
  </si>
  <si>
    <t>Failed</t>
  </si>
  <si>
    <t>No Action Required</t>
  </si>
  <si>
    <t>Remediations Required</t>
  </si>
  <si>
    <t>CIS Section</t>
  </si>
  <si>
    <t>Status</t>
  </si>
  <si>
    <t>Description</t>
  </si>
  <si>
    <t>"4.1.3.1 (L1) Ensure 'Prevent enabling lock screen camera' is set to 'Enabled': [PASSED]"
Disables the lock screen camera toggle switch in PC Settings and prevents a camera from being invoked on the lock screen.
The recommended state for this setting is: Enabled
Disabling the lock screen camera extends the protection afforded by the lock screen to camera features.
Solution:
To establish the recommended configuration via configuration profiles, set the following Settings Catalog path to Enabled
Administrative Templates\Control Panel\Personalization\Prevent enabling lock screen camera
Impact:
If you enable this setting, users will no longer be able to enable or disable lock screen camera access in PC Settings, and the camera cannot be invoked on the lock screen.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</si>
  <si>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"89.28 (L1) Ensure 'Modify Object Label' is set to 'No One': [PASSED]"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malicious user may cause them to execute code at a higher level of privilege than intended.
Solution:
To establish the recommended configuration via configuration profiles, set the following Settings Catalog path to (&lt;![CDATA[]]&gt;) which equals No One
User Rights\Modify Object Label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</si>
  <si>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"15.1 (L1) Ensure 'Config refresh' is set to 'Enabled': [PASSED]"
This policy setting determines whether or not MDM policies are refreshed on the system.
The recommended state for this setting is: Enabled
Policy CSP settings should be set to refresh at regular intervals to ensure constant compliance and to reduce policy drift. This helps to ensure systems stay in compliance.
Solution:
To establish the recommended configuration via configuration profiles, set the following Settings Catalog path to Enabled
Config Refresh\Config refresh
Impact:
Microsoft's tech community blog confirms that performance testing was done before the feature's release, showing minimal impact on CPU, RAM, and battery even when the refresh cadence is set to 30 minutes.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CSCv7|5.4,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'PASS'
Actual Value:
'PASS'</t>
  </si>
  <si>
    <t>"49.2 (L1) Ensure 'Accounts: Limit local account use of blank passwords to console logon only' is set to 'Enabled': [PASSED]"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
Solution:
To establish the recommended configuration via configuration profiles, set the following Settings Catalog path to Enabled :
Local Policies Security Options\Accounts: Limit local account use of blank passwords to console logon only
Impact:
None - this is the default behavior.
See Also:
https://workbench.cisecurity.org/benchmarks/21719
Reference:
800-171|3.5.2, 800-171r3|03.05.07, 800-53|IA-5(1), 800-53r5|IA-5(1), CSCv7|4.4, CSCv8|5.2, CSF|PR.AC-1, CSF2.0|PR.AA-01, CSF2.0|PR.AA-03, GDPR|32.1.b, HIPAA|164.306(a)(1), HIPAA|164.312(a)(2)(i), HIPAA|164.312(d), ISO-27001-2022|A.5.16, ISO-27001-2022|A.5.17, ITSG-33|IA-5(1), LEVEL|1A, NESA|T5.2.3, QCSC-v1|5.2.2, QCSC-v1|13.2, SWIFT-CSCv1|4.1
Policy Value:
1
Actual Value:
1</t>
  </si>
  <si>
    <t>"38.17 (L1) Ensure 'Enable Public Network Firewall: Allow Local Policy Merge' is set to 'False': [PASSED]"
This setting controls whether local administrators are allowed to create local firewall rules that apply together with firewall rules configured by Group Policy.
The recommended state for this setting is: False
Note: When the Allow Local Policy Merge setting is configured to False it's recommended to also configure the Disable Inbound Notifications setting to True Otherwise, users will continue to receive messages that ask if they want to unblock a restricted inbound connection, but the user's response will be ignored.
When in the Public profile, there should be no special local firewall exceptions per computer. These settings should be managed by a centralized policy.
Solution:
To establish the recommended configuration via configuration profiles, set the following Settings Catalog path to False :
Firewall\Enable Public Network Firewall: Allow Local Policy Merge
Impact:
Administrators can still create firewall rules, but the rules will not be applied.
See Also:
https://workbench.cisecurity.org/benchmarks/21719
Reference:
800-171|3.13.1, 800-171|3.13.5, 800-171|3.13.6, 800-171r3|03.13.01, 800-171r3|03.13.06, 800-53|SC-7, 800-53|SC-7(5), 800-53r5|SC-7, 800-53r5|SC-7(5), CN-L3|7.1.2.2(c), CN-L3|8.1.10.6(j), CSCv7|9.4, CSCv7|11.3,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0
Actual Value:
0</t>
  </si>
  <si>
    <t>"89.6 (L1) Ensure 'Change System Time' is set to 'Administrators, LOCAL SERVICE': [PASSED]"
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*S-1-5-32-544 and *S-1-5-19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an attacker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an attacker is able to change the system time and then stop the Windows Time service or reconfigure it to synchronize with a time server that is not accurate.
Solution:
To establish the recommended configuration via configuration profiles, set the following Settings Catalog path to *S-1-5-32-544 and *S-1-5-19 (Administrators, LOCAL SERVICE).
User Rights\Change System Time
Note: Include only one User or Group per line in the Settings Catalog configuration screen.
Impact:
There should be no impact, because time synchronization for most organizations should be fully automated for all computers that belong to the domain. Computers that do not belong to the domain should be configured to synchronize with an external source.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'LOCAL SERVICE'
Actual Value:
'administrators' &amp;&amp; 'local service'</t>
  </si>
  <si>
    <t>"105.2 (L1) Ensure 'Password Age Days' is set to 'Configured: 30 or fewer': [PASSED]"
This policy setting configures the Windows LAPS Password Settings policy for password age.
Because attackers can crack passwords, the more frequently the password is changed the less opportunity an attacker has to use a cracked password.
The recommended state for this setting is: Configured: 30 or fewer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Password Age Days to Configured: 30 (or fewer)
Impact:
None - this is the default behavior, unless set to fewer than 30 days.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[7..30]
Actual Value:
7</t>
  </si>
  <si>
    <t>"4.11.15.3.1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Service\Setup\Control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</si>
  <si>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"4.11.36.4.3.2 (L1) Ensure 'Do not allow drive redirection' is set to 'Enabled': [PASSED]"
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
Solution:
To establish the recommended configuration via configuration profiles, set the following Settings Catalog path to Enabled
Administrative Templates\Windows Components\Remote Desktop Services\Remote Desktop Session Host\Device and Resource Redirection\Do not allow drive redirection
Impact:
Drive redirection will not be possible. In most situations, traditional network drive mapping to file shares (including administrative shares) performed manually by the connected user will serve as a capable substitute to still allow file transfers when needed.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1
Actual Value:
1</t>
  </si>
  <si>
    <t>"4.5.1 (L1) Ensure 'MSS: (AutoAdminLogon) Enable Automatic Logon (not recommended)' is set to 'Disabled': [PASSED]"
This setting is separate from the Welcome screen feature in Windows XP and Windows Vista; if that feature is disabled, this setting is not disabled. If you configure a computer for automatic logon, anyone who can physically gain access to the computer can also gain access to everything that is on the computer, including any network or networks to which the computer is connected. Also, if you enable automatic logon, the password is stored in the registry in plaintext, and the specific registry key that stores this value is remotely readable by the Authenticated Users group.
For additional information, see Microsoft Knowledge Base article 324737:
How to turn on automatic logon in Windows
.
The recommended state for this setting is: Disabled
If you configure a computer for automatic logon, anyone who can physically gain access to the computer can also gain access to everything that is on the computer, including any network or networks that the computer is connected to. Also, if you enable automatic logon, the password is stored in the registry in plaintext. The specific registry key that stores this setting is remotely readable by the Authenticated Users group. As a result, this entry is appropriate only if the computer is physically secured and if you ensure that untrusted users cannot remotely see the registry.
Solution:
To establish the recommended configuration via configuration profiles, set the following Settings Catalog path to `Disabled.
Administrative Templates\MSS (Legacy)\MSS: (AutoAdminLogon) Enable Automatic Logon (not recommended)
Impact:
None - this is the default behavior.
Warning:
Windows Autopilot - Policy Conflicts
: Windows Autopilot pre-provisioning doesn't work when this policy setting is Disabled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See Also:
https://workbench.cisecurity.org/benchmarks/21719
Reference:
800-171|3.5.2, 800-171|3.13.16, 800-171r3|03.05.07, 800-171r3|03.13.08, 800-53|IA-5(1), 800-53|SC-28, 800-53|SC-28(1), 800-53r5|IA-5(1), 800-53r5|SC-28, 800-53r5|SC-28(1), CN-L3|8.1.4.7(b), CN-L3|8.1.4.8(b), CSCv7|16.4, CSCv8|3.11, CSF|PR.AC-1, CSF|PR.DS-1, CSF2.0|PR.AA-01, CSF2.0|PR.AA-03, CSF2.0|PR.DS-01, GDPR|32.1.a, GDPR|32.1.b, HIPAA|164.306(a)(1), HIPAA|164.312(a)(2)(i), HIPAA|164.312(a)(2)(iv), HIPAA|164.312(d), HIPAA|164.312(e)(2)(ii), ISO-27001-2022|A.5.10, ISO-27001-2022|A.5.16, ISO-27001-2022|A.5.17, ISO-27001-2022|A.5.33, ITSG-33|IA-5(1), ITSG-33|SC-28, ITSG-33|SC-28a., ITSG-33|SC-28(1), LEVEL|1A, NESA|T5.2.3, PCI-DSSv3.2.1|3.4, PCI-DSSv4.0|3.3.2, PCI-DSSv4.0|3.5.1, QCSC-v1|5.2.2, QCSC-v1|6.2, QCSC-v1|13.2, SWIFT-CSCv1|4.1, TBA-FIISB|28.1
Policy Value:
PASSED
Actual Value:
All of the following must pass to satisfy this requirement:
-------------------------
PASSED - Ensure 'AutoAdminLogon' is 'Windows: Registry Value' to '0':
 Remote value: '0'
 Policy value: '0'
-------------------------
PASSED - Ensure 'DefaultPassword' does not exist:
 Remote value: 'HKLM\Software\Microsoft\Windows NT\CurrentVersion\Winlogon_registry_does_not_exist'
 Policy value: 'HKLM\Software\Microsoft\Windows NT\CurrentVersion\Winlogon'</t>
  </si>
  <si>
    <t>"4.10.5.1 (L1) Ensure 'Encryption Oracle Remediation' is set to 'Enabled: Force Updated Clients': [PASSED]"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 All versions of Windows from Windows Vista onwards are affected by this vulnerability, and will be compatible with this recommendation provided that they have been patched at least through May 2018 (or later).
Solution:
To establish the recommended configuration via configuration profiles, set the following Settings Catalog path to Enabled: Force Updated Clients
Administrative Templates\System\Credentials Delegation\Encryption Oracle Remediation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
See Also:
https://workbench.cisecurity.org/benchmarks/21719
Reference:
800-53|SI-16, 800-53r5|SI-16, CSCv7|3.4, CSCv8|10.5, CSF2.0|PR.DS-10, GDPR|32.1.b, HIPAA|164.306(a)(1), ITSG-33|SI-16, LEVEL|1A
Policy Value:
0
Actual Value:
0</t>
  </si>
  <si>
    <t>"4.10.19.2 (L1) Ensure 'Turn off background refresh of Group Policy' is set to 'Disabled': [PASSED]"
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
Solution:
To establish the recommended configuration via configuration profiles, set the following Settings Catalog path to Disabled
Administrative Templates\System\Group Policy\Turn off background refresh of Group
Impact:
None - this is the default behavior.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CSCv7|5.4,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'HKLM\Software\Microsoft\Windows\CurrentVersion\Policies\System'
Actual Value:
'HKLM\Software\Microsoft\Windows\CurrentVersion\Policies\System_registry_does_not_exist'</t>
  </si>
  <si>
    <t>"4.10.26.5 (L1) Ensure 'Turn off app notifications on the lock screen' is set to 'Enabled': [PASSED]"
This policy setting allows you to prevent app notifications from appearing on the lock screen.
The recommended state for this setting is: Enabled
Warning: If the
Self Service Password Reset (SSPR)
feature is used in Microsoft Entra ID, an exception to this recommendation is needed as it's known to interfere with SSPR.
App notifications might display sensitive business or personal data.
Solution:
To establish the recommended configuration via configuration profiles, set the following Settings Catalog path to Enabled
Administrative Templates\System\Logon\Turn off app notifications on the lock screen
Impact:
No app notifications are displayed on the lock screen.
See Also:
https://workbench.cisecurity.org/benchmarks/21719
Reference:
800-171|3.4.2, 800-171|3.4.6, 800-171|3.4.7, 800-171r3|03.04.02, 800-171r3|03.04.06, 800-53|CM-6, 800-53|CM-7, 800-53r5|CM-6, 800-53r5|CM-7, CSCv7|16.11, CSCv8|4.8, CSF|PR.IP-1, CSF|PR.PT-3, CSF2.0|DE.CM-09, CSF2.0|PR.PS-01, GDPR|32.1.b, HIPAA|164.306(a)(1), ISO-27001-2022|A.8.9, ITSG-33|CM-6, ITSG-33|CM-7, LEVEL|1A, NIAv2|SS15a, PCI-DSSv3.2.1|2.2.2, SWIFT-CSCv1|2.3
Policy Value:
1
Actual Value:
1</t>
  </si>
  <si>
    <t>"6.27 (L1) Ensure 'System Audit System Integrity' is set to 'Success and Failure': [PASSED]"
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Auditing\System Audit System Integrity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</si>
  <si>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"4.11.3.1 (L1) Ensure 'Allow Microsoft accounts to be optional' is set to 'Enabled': [PASSED]"
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
Solution:
To establish the recommended configuration via configuration profiles, set the following Settings Catalog path to Enabled
Administrative Templates\Windows Components\App runtime\Allow Microsoft accounts to be optional
Impact:
Windows Store apps that typically require a Microsoft account to sign in will allow users to sign in with an enterprise account instead.
See Also:
https://workbench.cisecurity.org/benchmarks/21719
Reference:
800-171|3.1.1, 800-171r3|03.01.01, 800-53|AC-2(1), 800-53r5|AC-2(1), CN-L3|7.1.3.2(d), CSCv7|16.2, CSCv8|5.6, CSF|PR.AC-1, CSF|PR.AC-4, CSF2.0|DE.CM-01, CSF2.0|DE.CM-03, CSF2.0|PR.AA-01, CSF2.0|PR.AA-05, CSF2.0|PR.DS-10, GDPR|32.1.b, HIPAA|164.306(a)(1), HIPAA|164.312(a)(1), ISO-27001-2022|A.5.16, ISO-27001-2022|A.5.18, ISO-27001-2022|A.8.2, ISO/IEC-27001|A.9.2.1, ITSG-33|AC-2(1), LEVEL|1A, NIAv2|AM28, NIAv2|NS5j, NIAv2|SS14e, QCSC-v1|5.2.2, QCSC-v1|8.2.1, QCSC-v1|13.2, QCSC-v1|15.2
Policy Value:
1
Actual Value:
1</t>
  </si>
  <si>
    <t>"49.3 (L1) Configure 'Accounts: Rename administrator account': [PASSED]"
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
The Administrator account exists on all computers that run the Windows 2000 or newer operating systems. If you rename this account, it is slightly more difficult for unauthorized persons to guess this privileged user name and password combination.
The built-in Administrator account cannot be locked out, regardless of how many times an attacker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you rename the Administrator account, an attacker could launch a brute force attack by using the SID to log on.
Solution:
To establish the recommended configuration via configuration profiles, set the following Settings Catalog path:
Local Policies Security Options\Accounts: Rename administrator account
Impact:
You will have to inform users who are authorized to use this account of the new account name. (The guidance for this setting assumes that the Administrator account was not disabled, which was recommended earlier in this chapter.)
See Also:
https://workbench.cisecurity.org/benchmarks/21719
Reference:
800-171|3.5.2, 800-171r3|03.05.12, 800-53|IA-5, 800-53r5|IA-5, CSCv8|4.7, CSF|PR.AC-1, CSF2.0|PR.AA-01, CSF2.0|PR.AA-03, GDPR|32.1.b, HIPAA|164.306(a)(1), HIPAA|164.312(a)(2)(i), HIPAA|164.312(d), ISO-27001-2022|A.5.16, ISO-27001-2022|A.5.17, ITSG-33|IA-5, LEVEL|1A, NESA|T5.2.3, QCSC-v1|5.2.2, QCSC-v1|13.2
Policy Value:
'\b[Aa]dmin(istrator)?'
Actual Value:
'nonsa'</t>
  </si>
  <si>
    <t>"105.6 (L1) Ensure 'Post Authentication Reset Delay' is set to 'Configured: 8 or fewer hours, but not 0': [PASSED]"
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Configured: 8 or fewer hours, but not 0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If this policy is set to 0 it prevents all post-authentication actions from occurring.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Post Authentication Reset Delay to Configured: 8 (or fewer hours, but not 0)
Impact:
After 8 hours, the Windows LAPS managed account password will be reset and log off the system.
See Also:
https://workbench.cisecurity.org/benchmarks/21719
Reference:
800-171|3.5.2, 800-171r3|03.05.07, 800-53|IA-5(1), 800-53r5|IA-5(1), CSF|PR.AC-1, CSF2.0|PR.AA-01, CSF2.0|PR.AA-03, GDPR|32.1.b, HIPAA|164.306(a)(1), HIPAA|164.312(a)(2)(i), HIPAA|164.312(d), ISO-27001-2022|A.5.16, ISO-27001-2022|A.5.17, ITSG-33|IA-5(1), LEVEL|1A, NESA|T5.2.3, QCSC-v1|5.2.2, QCSC-v1|13.2, SWIFT-CSCv1|4.1
Policy Value:
[1..8]
Actual Value:
8</t>
  </si>
  <si>
    <t>"50.1 (L1) Ensure 'Configure Lsa Protected Process is set to 'Enabled with UEFI Lock...': [PASSED]"
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
The recommended state for this setting is: Enabled with UEFI lock. LSA will run as protected process and this configuration is UEFI locked
Provides added security for the credentials that LSA stores and manages. Enabling this setting with UEFI Lock prevents the setting from being changed remotely.
Solution:
To establish the recommended configuration via configuration profiles, set the following Settings Catalog path to Enabled with UEFI lock...
Local Security Authority\Configure Lsa Protected Process
Impact:
Once this setting has been applied (Enabled), removing the group policy setting (set to Not Configured) will not reverse the impact. In order to reverse the impact, you must explicitly configure this setting to Disabled and follow
Microsoft's documentation on disabling the UEFI Lock
.
See Also:
https://workbench.cisecurity.org/benchmarks/21719
Reference:
800-53|SI-16, 800-53r5|SI-16, CSCv8|10.5, CSF2.0|PR.DS-10, GDPR|32.1.b, HIPAA|164.306(a)(1), ITSG-33|SI-16, LEVEL|1A
Policy Value:
1
Actual Value:
1</t>
  </si>
  <si>
    <t>"81.3 (L1) Ensure 'Computer Browser (Browser)' is set to 'Disabled' or 'Not Installed': [PASSED]"
Maintains an updated list of computers on the network and supplies this list to computers designated as browsers.
The recommended state for this setting is: Disabled or Not Installed
Note: In Windows 8.1 and Windows 10, this service is bundled with the
SMB 1.0/CIFS File Sharing Support
optional feature. As a result, removing that feature (highly recommended unless backward compatibility is needed to XP/2003 and older Windows OSes - see
Stop using SMB1 | Storage at Microsoft
) will also remediate this recommendation. The feature is not installed by default starting with Windows 10 R1709.
This is a legacy service - its sole purpose is to maintain a list of computers and their network shares in the environment (i.e. 'Network Neighborhood'). If enabled, it generates a lot of unnecessary traffic, including 'elections' to see who gets to be the 'master browser'. This noisy traffic could also aid malicious attackers in discovering online machines, because the service also allows anyone to 'browse' for shared resources without any authentication. This service used to be running by default in older Windows versions (e.g. Windows XP), but today it only remains for backward compatibility for very old software that requires it.
Solution:
To establish the recommended configuration, set the following Custom Configuration Policy to 4 or confirm that the service is Not installed :
Name:  &lt;Enter name&gt;
Description: &lt;Enter Description&gt;
OMA-URI: ./Device/Vendor/MSFT/Policy/Config/SystemServices/ConfigureComputerBrowserServiceStartupMode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if(Test-Path -LiteralPath 'HKLM:\SYSTEM\CurrentControlSet\Services\Browser') {
    Set-ItemProperty -LiteralPath 'HKLM:\SYSTEM\CurrentControlSet\Services\Browser' -Name 'Start' -Value 4 -Verbose
}
Note: This service is not installed in Windows 10 R1709 and newer. Running the cmdlet Set-Service or Get-Service aganist 'Browser' will cause a inadvertent match against a similarly named service called bowser which also has the DisplayName of Browser which will then throw an error. bowser is actually the NT Lan Manager Datagram Receiver Driver Using the literal registry path above avoids that error.
Impact:
The list of computers and their shares on the network will not be updated or maintained.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</si>
  <si>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"4.11.8.1 (L1) Ensure 'Do not display the password reveal button' is set to 'Enabled': [PASSED]"
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
Solution:
To establish the recommended configuration via configuration profiles, set the following Settings Catalog path to Enabled
Administrative Templates\Windows Components\Credential User Interface\Do not display the password reveal button
Impact:
The password reveal button will not be displayed after a user types a password in the password entry text box.
See Also:
https://workbench.cisecurity.org/benchmarks/21719
Reference:
800-171|3.5.2, 800-171r3|03.05.07, 800-53|IA-5(1), 800-53r5|IA-5(1), CSF|PR.AC-1, CSF2.0|PR.AA-01, CSF2.0|PR.AA-03, GDPR|32.1.b, HIPAA|164.306(a)(1), HIPAA|164.312(a)(2)(i), HIPAA|164.312(d), ISO-27001-2022|A.5.16, ISO-27001-2022|A.5.17, ITSG-33|IA-5(1), LEVEL|1A, NESA|T5.2.3, QCSC-v1|5.2.2, QCSC-v1|13.2, SWIFT-CSCv1|4.1
Policy Value:
1
Actual Value:
1</t>
  </si>
  <si>
    <t>"4.11.55.1.2 (L1) Ensure 'Allow unencrypted traffic' is set to 'Disabled': [PASSED]"
This policy setting allows you to manage whether the Windows Remote Management (WinRM) client sends and receives unencrypted messages over the network.
The recommended state for this setting is: Disabled
Encrypting WinRM network traffic reduces the risk of an attacker viewing or modifying WinRM messages as they transit the network.
Solution:
To establish the recommended configuration via configuration profiles, set the following Settings Catalog path to Disabled
Administrative Templates\Windows Components\Windows Remote Management (WinRM)\WinRM Client\Allow unencrypted traffic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CSCv7|14.4,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</si>
  <si>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"6.13 (L1) Ensure 'Audit Security System Extension' is set to include 'Success': [PASSED]"
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Security System Extension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</si>
  <si>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"89.11 (L1) Ensure 'Create Token' is set to 'No One': [PASSED]"
This policy setting allows a process to create an access token, which may provide elevated rights to access sensitive data.
The recommended state for this setting is: No One
Note: This user right is considered a 'sensitive privilege' for the purposes of auditing.
A user account that is given this user right has complete control over the system and can lead to the system being compromised. It is highly recommended that you do not assign any user accounts this right.
The operating system examines a user's access token to determine the level of the user's privileges. Access tokens are built when users log on to the local computer or connect to a remote computer over a network. When you revoke a privilege, the change is immediately recorded, but the change is not reflected in the user's access token until the next time the user logs on or connects. Users with the ability to create or modify tokens can change the level of access for any currently logged on account. They could escalate their own privileges or create a DoS condition.
Solution:
To establish the recommended configuration via configuration profiles, set the following Settings Catalog path to (&lt;![CDATA[]]&gt;) which equals No One
User Rights\Create Token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</si>
  <si>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"80.7 (L1) Ensure 'Limit Diagnostic Log Collection' is set to 'Enabled': [PASSED]"
This policy setting controls whether additional diagnostic logs are collected when more information is needed to troubleshoot a problem on the device.
The recommended state for this setting is: Enabled
Note: Diagnostic logs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Sending data to a third-party vendor is a security concern and should only be done on an as-needed basis.
Solution:
To establish the recommended configuration via configuration profiles, set the following Settings Catalog path to Enabled :
System\Limit Diagnostic Log Collection
Impact:
Diagnostic logs and information such as crash dumps will not be collected for transmission to Microsoft.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1
Actual Value:
1</t>
  </si>
  <si>
    <t>"24.2 (L1) Ensure 'Credential Guard' is set to 'Enabled with UEFI lock': [PASSED]"
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The Enabled with UEFI lock option ensures that Credential Guard cannot be disabled remotely.
Solution:
To establish the recommended configuration via configuration profiles, set the following Settings Catalog path to Enabled with UEFI lock :
Device Guard\Credential Guard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Credential Guard cannot be disabled solely via GPO or any other remote method. After removing the setting from GPO, the features must also be manually disabled
locally at the machine
using the steps provided at this link:
Manage Windows Defender Credential Guard (Windows 10) | Microsoft Docs
See Also:
https://workbench.cisecurity.org/benchmarks/21719
Reference:
800-53|SI-16, 800-53r5|SI-16, CSCv7|8.3, CSCv8|10.5, CSF2.0|PR.DS-10, GDPR|32.1.b, HIPAA|164.306(a)(1), ITSG-33|SI-16, LEVEL|1A
Policy Value:
1
Actual Value:
1</t>
  </si>
  <si>
    <t>"22.11 (L1) Ensure 'ASR: Block executable content from email client and webmail' is set to 'Block': [PASSED]"
This rule blocks email opened within the Microsoft Outlook application, or Outlook.com and other popular webmail providers from propagating the following file types:
 - Executable files (such as .exe, .dll, or .scr)
 - Script files (such as a PowerShell .ps1, Visual Basic .vbs, or JavaScript .js file)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executable content from email client and webmail
Impact:
When a rule is triggered, a notification will be displayed from the Action Center.
See Also:
https://workbench.cisecurity.org/benchmarks/21719
Reference:
800-53|SI-16, 800-53r5|SI-16, CSCv7|8.3, CSCv8|10.5, CSF2.0|PR.DS-10, GDPR|32.1.b, HIPAA|164.306(a)(1), ITSG-33|SI-16, LEVEL|1A
Policy Value:
'\b(?i)be9ba2d9-53ea-4cdc-84e5-9b1eeee46550=1\b'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</si>
  <si>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"22.30 (L1) Ensure 'Quick Scan Include Exclusions' is set to '1': [PASSED]"
This policy setting manages whether or not Microsoft Defender Antivirus scans excluded files and directories when running a Quick Scan.
The recommended state for this setting is: If you set this setting to 1, all files and directories that are excluded from real-time protection using contextual exclusions are scanned during a quick scan
Note: As of the publication of this Benchmark, the setting configuration state in Intune is the sentence above after
The recommended state for this setting is:
and not
1
as the title states. This was done to keep title length to a minimum.
The Real-time Protection feature excludes some files and directories for contextual reasons. This setting ensures that these are scanned during a Quick Scan.
Solution:
To establish the recommended configuration via configuration profiles, set the following Settings Catalog path to If you set this setting to 1, all files and directories that are excluded from real-time protection using contextual exclusions are scanned during a quick scan
Defender\Quick Scan Include Exclusions
Impact:
A Quick Scan could take longer when including the contextually excluded files and directories.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</si>
  <si>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"4.11.10.3 (L1) Ensure 'Enable App Installer ms-appinstaller protocol' is set to 'Disabled': [PASSED]"
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
Solution:
To establish the recommended configuration via configuration profiles, set the following Settings Catalog path to Disabled :
Administrative Templates\Windows Components\Desktop App Installer\Enable App Installer ms-appinstaller protocol
Impact:
Users will not have the ability to use the ms-appinstaller protocol to install applications by clicking a link on a website.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</si>
  <si>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"26.9 (L1) Ensure 'Minimum Password Age' is set to '1 or more day(s)': [PASSED]"
This security setting determines the period of time (in days) that a password must be used before the user can change it. You can set a value between 1 and 998 days, or you can allow changes immediately by setting the number of days to 0.
The recommended state for this setting is: 1 or more day(s))
Users may have favorite passwords that they like to use because they are easy to remember and they believe that their password choice is secure from compromise. Unfortunately, passwords are compromised and if an attacker is targeting a specific individual's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
Solution:
To establish the recommended configuration via configuration profiles, set the following Settings Catalog path to 1 (or more day(s)):
Device Lock\Minimum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1
Actual Value:
1</t>
  </si>
  <si>
    <t>"4.1.3.2 (L1) Ensure 'Prevent enabling lock screen slide show' is set to 'Enabled': [PASSED]"
Disables the lock screen slide show settings in PC Settings and prevents a slide show from playing on the lock screen.
The recommended state for this setting is: Enabled
Disabling the lock screen slide show extends the protection afforded by the lock screen to slide show contents.
Solution:
To establish the recommended configuration via configuration profiles, set the following Settings Catalog path to Enabled
Administrative Templates\Control Panel\Personalization\Prevent enabling lock screen slide show
Impact:
If you enable this setting, users will no longer be able to modify slide show settings in PC Settings, and no slide show will ever start.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</si>
  <si>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"4.5.9 (L1) Ensure 'MSS: (SafeDllSearchMode) Enable Safe DLL search mode (recommended)' is set to 'Enabled': [PASSED]"
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
If a user unknowingly executes hostile code that was packaged with additional files that include modified versions of system DLLs, the hostile code could load its own versions of those DLLs and potentially increase the type and degree of damage the code can render.
Solution:
To establish the recommended configuration via configuration profiles, set the following Settings Catalog path to Enabled
Administrative Templates\MSS (Legacy)\MSS: (SafeDllSearchMode) Enable Safe DLL search mode (recommended)
Impact:
None - this is the default behavior.
See Also:
https://workbench.cisecurity.org/benchmarks/21719
Reference:
800-53|SI-16, 800-53r5|SI-16, CSCv7|8.3, CSCv8|10.5, CSF2.0|PR.DS-10, GDPR|32.1.b, HIPAA|164.306(a)(1), ITSG-33|SI-16, LEVEL|1A
Policy Value:
1
Actual Value:
1</t>
  </si>
  <si>
    <t>"4.11.50.1 (L1) Ensure 'Enable MPR notifications for the system' is set to 'Disabled': [PASSED]"
This policy setting controls whether winlogon sends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
MPR is a legacy utility that provides notifications to registered credential managers or network providers when there is a logon event or a password change event. Although this functionality can be used by legitimate applications, it can also be abused by attackers to harvest logon information.
Solution:
To establish the recommended configuration via configuration profiles, set the following Settings Catalog path to Disabled :
Administrative Templates\Windows Components\Windows Logon Options\Enable MPR notifications for the system
Impact:
Winlogon will not send Multiple Provider Router (MPR) notifications on the system. This setting may also cause issues with reconnecting to drives.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</si>
  <si>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"26.1 (L1) Ensure 'Device Password Enabled' is set to 'Enabled': [PASSED]"
This policy setting specifics whether device lock is enabled. when enabled, the following policy settings take effect on the system which are included in the Device Lock Section:
 - AllowSimpleDevicePassword
 - MinDevicePasswordLength
 - AlphanumericDevicePasswordRequired
 - MaxDevicePasswordFailedAttempts
 - MaxInactivityTimeDeviceLock
 - MinDevicePasswordComplexCharacters
The recommended state for this setting is: Enabled
This policy setting allows for the configuration of settings such as those contained in the password and device lock policy.
Solution:
To establish the recommended configuration via configuration profiles, set the following Settings Catalog path to `3Enabled:
Device Lock\Device Password Enabled
Impact:
This setting is not supported if MDMWinsOverGP is enabled. MDMWinsOverGP is a setting that ensures MDM policies win over Active Directory Group Policies.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PASSED
Actual Value:
PASSED</t>
  </si>
  <si>
    <t>"90.1 (L1) Ensure 'Hypervisor Enforced Code Integrity' is set to 'Enabled with UEFI lock': [PASSED]"
This setting enables virtualization based protection of Kernel Mode Code Integrity. When this is enabled, kernel mode memory protections are enforced and the Code Integrity validation path is protected by the Virtualization Based Security feature.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The Enabled with UEFI lock option ensures that Virtualization Based Protection of Code Integrity cannot be disabled remotely.
Solution:
To establish the recommended configuration via configuration profiles, set the following Settings Catalog path to Enabled with UEFI lock
Virtualization Based Technology\Hypervisor Enforced Code Integrity
Impact:
Warning: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Warning #2: All drivers on the system must be compatible with this feature or the system may crash. Ensure that this policy setting is only deployed to computers which are known to be compatible.
Warning #3: Once this setting is turned on and active, Virtualization Based Security cannot be disabled solely via GPO or any other remote method. After removing the setting from GPO, the features must also be manually disabled
locally at the machine
using the steps provided at this link:
Manage Windows Defender Credential Guard (Windows 10) | Microsoft Docs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See Also:
https://workbench.cisecurity.org/benchmarks/21719
Reference:
800-53|SI-16, 800-53r5|SI-16, CSCv7|8.3, CSCv8|10.5, CSF2.0|PR.DS-10, GDPR|32.1.b, HIPAA|164.306(a)(1), ITSG-33|SI-16, LEVEL|1A
Policy Value:
1
Actual Value:
1</t>
  </si>
  <si>
    <t>"89.14 (L1) Ensure 'Deny Local Log On' to include 'Guests': [PASSED]"
This security setting determines which users are prevented from logging on at the computer. This policy setting supersedes the Allow log on locally policy setting if an account is subject to both policies.
The recommended state for this setting is to include: *S-1-5-32-546 (Guests).
Important: If you apply this security policy to the Everyone group, no one will be able to log on locally.
Warning: The help text in Intune associated with this recommendation is for the setting,
Deny log on as a service
and not this setting.
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
Solution:
To establish the recommended configuration via configuration profiles, set the following Settings Catalog path to *S-1-5-32-546 (Guests).
User Rights\Deny Local Log On
Note: Include only one User or Group per line in the Settings Catalog configuration screen.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Actual Value:
'guests'</t>
  </si>
  <si>
    <t>"6.4 (L1) Ensure 'Account Logon Logoff Audit Logoff' is set to include 'Success': [PASSED]"
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Auditing these events may be useful when investigating a security incident.
Solution:
To establish the recommended configuration via configuration profiles, set the following Settings Catalog path to Success
Auditing\Account Logon Logoff Audit Logoff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</si>
  <si>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"4.7.9 (L1) Ensure 'Manage processing of Queue-specific files: Manage processing of Queue-Specific files' is set to 'Enabled: Limit Queue-specific files to Color profiles': [PASSED]"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 exists when the Windows Print Spooler service improperly performs privileged file operations. An attacker who successfully exploits this vulnerability could run arbitrary code with SYSTEM privileges and then install programs; view, change, or delete data; or create new accounts with full user rights.
Solution:
To establish the recommended configuration via configuration profiles, set the following Settings Catalog path to Enabled: Limit Queue-specific files to Color profiles :
Administrative Templates\Printers\Manage processing of Queue-specific files: Manage processing of Queue-specific files
Impact:
None - this is default behavior.
See Also:
https://workbench.cisecurity.org/benchmarks/21719
Reference:
800-53|SI-16, 800-53r5|SI-16, CSCv7|8.3, CSCv8|10.5, CSF2.0|PR.DS-10, GDPR|32.1.b, HIPAA|164.306(a)(1), ITSG-33|SI-16, LEVEL|1A
Policy Value:
1
Actual Value:
1</t>
  </si>
  <si>
    <t>"49.14 (L1) Ensure 'Microsoft network client: Send unencrypted password to third-party SMB servers' is set to 'Disabled': [PASSED]"
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
Solution:
To establish the recommended configuration via configuration profiles, set the following Settings Catalog path to Disabled :
Local Policies 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CSCv7|16.4,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</si>
  <si>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"4.11.55.2.4 (L1) Ensure 'Disallow WinRM from storing RunAs credentials' is set to 'Enabled': [PASSED]"
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
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
Solution:
To establish the recommended configuration via configuration profiles, set the following Settings Catalog path to Enabled
Administrative Templates\Windows Components\Windows Remote Management (WinRM)\WinRM Service\Disallow WinRM from storing RunAs credentials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
See Also:
https://workbench.cisecurity.org/benchmarks/21719
Reference:
800-171|3.13.2, 800-171|3.13.5, 800-171r3|03.13.01, 800-53|SC-7(21), 800-53r5|SC-7(21), CN-L3|8.1.10.6(j), CSCv7|14.3, CSF|PR.AC-5, CSF|PR.DS-5, CSF2.0|DE.CM-01, CSF2.0|PR.DS-01, CSF2.0|PR.DS-02, CSF2.0|PR.DS-10, CSF2.0|PR.IR-01, GDPR|32.1.b, HIPAA|164.306(a)(1), ISO-27001-2022|A.5.14, ISO-27001-2022|A.8.16, ISO-27001-2022|A.8.20, ISO/IEC-27001|A.13.1.3, ITSG-33|SC-7, LEVEL|1A, NESA|T4.5.3, NIAv2|VL6, PCI-DSSv3.2.1|1.1, PCI-DSSv3.2.1|1.2, PCI-DSSv3.2.1|1.2.1, PCI-DSSv3.2.1|1.3, PCI-DSSv4.0|1.2.1, PCI-DSSv4.0|1.4.1, QCSC-v1|5.2.1, QCSC-v1|5.2.2, QCSC-v1|6.2, QCSC-v1|8.2.1, TBA-FIISB|43.1
Policy Value:
1
Actual Value:
1</t>
  </si>
  <si>
    <t>"6.5 (L1) Ensure 'Account Logon Logoff Audit Logon' is set to 'Success and Failure': [PASSED]"
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Auditing\Account Logon Logoff Audit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</si>
  <si>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"81.27 (L1) Ensure 'SSDP Discovery (SSDPSRV)' is set to 'Disabled': [PASSED]"
Discovers networked devices and services that use the SSDP discovery protocol, such as UPnP devices. Also announces SSDP devices and services running on the local computer.
The recommended state for this setting is: Disabled
Universal Plug n Play (UPnP) is a real security risk - it allows automatic discovery and attachment to network devices. Note that UPnP is different than regular Plug n Play (PnP). Workstations should not be advertising their services (or automatically discovering and connecting to networked services) in a security-conscious enterprise managed environment.
Solution:
To establish the recommended configuration, set the following Custom Configuration Policy to 4 :
Name:  &lt;Enter name&gt;
Description: &lt;Enter Description&gt;
OMA-URI: ./Device/Vendor/MSFT/Policy/Config/SystemServices/ConfigureSSDPDiscoveryServiceStartupMode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SSDPSRV -StartupType Disabled
Impact:
SSDP-based devices will not be discovered.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</si>
  <si>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"89.27 (L1) Ensure 'Modify Firmware Environment' is set to 'Administrators': [PASSED]"
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
The recommended state for this setting is: *S-1-5-32-544 (Administrators).
Note: This user right is considered a 'sensitive privilege' for the purposes of auditing.
Anyone who is assigned the Modify firmware environment values user right could configure the settings of a hardware component to cause it to fail, which could lead to data corruption or a DoS condition.
Solution:
To establish the recommended configuration via configuration profiles, set the following Settings Catalog path to *S-1-5-32-544 (Administrators).
User Rights\Modify Firmware Environment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</si>
  <si>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"22.4 (L1) Ensure 'Allow Realtime Monitoring' is set to 'Allowed': [PASSED]"
This policy setting configures real-time protection prompts for known malware detection.
Microsoft Defender Antivirus alerts you when malware or potentially unwanted software attempts to install itself or to run on your computer.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Realtime Monitoring
Impact:
None - this is the default behavior.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</si>
  <si>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"4.11.36.4.9.1 (L1) Ensure 'Always prompt for password upon connection' is set to 'Enabled': [PASSED]"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an attacker who has gained physical access to the user's computer could connect to a Remote Desktop Server through the Remote Desktop Connection shortcut, even though they may not know the user's password.
Solution:
To establish the recommended configuration via configuration profiles, set the following Settings Catalog path to Enabled
Administrative Templates\Windows Components\Remote Desktop Services\Remote Desktop Session Host\Security\Always prompt for password upon connection
Impact:
Users cannot automatically log on to Remote Desktop Services by supplying their passwords in the Remote Desktop Connection client. They will be prompted for a password to log on.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</si>
  <si>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"90.2 (L1) Ensure 'Require UEFI Memory Attributes Table' is set to 'Require UEFI Memory Attributes Table': [PASSED]"
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The recommended state for this setting is: Require UEFI Memory Attributes Table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This setting will help protect this control from being enabled on a system that is not compatible which could lead to a crash or data loss.
Solution:
To establish the recommended configuration via configuration profiles, set the following Settings Catalog path to Require UEFI Memory Attributes Table
Virtualization Based Technology\Require UEFI Memory Attributes Table
Impact:
Warning: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Warning #2: All drivers on the system must be compatible with this feature or the system may crash. Ensure that this policy setting is only deployed to computers which are known to be compatible.
Warning #3 :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To work around this issue, the policies can be targeted to users instead of devices so that they apply later in the process. An exception to this recommendation may be needed if Windows AutoPilot is used.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See Also:
https://workbench.cisecurity.org/benchmarks/21719
Reference:
800-53|SI-16, 800-53r5|SI-16, CSCv7|8.3, CSCv8|10.5, CSF2.0|PR.DS-10, GDPR|32.1.b, HIPAA|164.306(a)(1), ITSG-33|SI-16, LEVEL|1A
Policy Value:
1
Actual Value:
1</t>
  </si>
  <si>
    <t>"38.11 (L1) Ensure 'Enable Private Network Firewall: Enable Log Success Connections' is set to 'Enable Logging Of Successful Connections': [PASSED]"
Use this option to log when Windows Firewall with Advanced Security allows an inbound connection. The log records why and when the connection was formed. Look for entries with the word ALLOW in the action column of the log.
The recommended state for this setting is: Enable Logging Of Successful Connections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Successful Connections :
Firewall\Enable Private Network Firewall: Enable Log Success Connections
Impact:
Information about successful connections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</si>
  <si>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"22.20 (L1) Ensure 'ASR: Block untrusted and unsigned processes that run from USB' is set to 'Block': [PASSED]"
With this rule, admins can prevent unsigned or untrusted executable files from running from USB removable drives, including SD cards. Blocked file types include executable files (such as .exe, .dll, or .scr)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untrusted and unsigned processes that run from USB
Impact:
Files copied from the USB to the disk drive will be blocked by this rule if and when it's about to be executed on the disk drive.
See Also:
https://workbench.cisecurity.org/benchmarks/21719
Reference:
800-53|SI-16, 800-53r5|SI-16, CSCv7|8.3, CSCv8|10.5, CSF2.0|PR.DS-10, GDPR|32.1.b, HIPAA|164.306(a)(1), ITSG-33|SI-16, LEVEL|1A
Policy Value:
'\b(?i)b2b3f03d-6a65-4f7b-a9c7-1c7ef74a9ba4=1\b'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</si>
  <si>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"49.26 (L1) Ensure 'Network Security Minimum Session Security For NTLMSSP Based Servers' is set to 'Require NTLM and 128-bit encryption': [PASSED]"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 and 128-bit encryption
Note: These values are dependent on the
Network security: LAN Manager Authentication Level
security setting value.
You can enable all of the options for this policy setting to help protect network traffic that uses the NTLM Security Support Provider (NTLM SSP) from being exposed or tampered with by an attacker who has gained access to the same network. That is, these options help protect against man-in-the-middle attacks.
Solution:
To establish the recommended configuration via configuration profiles, set the following Settings Catalog path to Require NTLM and 128-bit encryption :
Local Policies 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CSCv7|12.5,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537395200
Actual Value:
537395200</t>
  </si>
  <si>
    <t>"49.23 (L1) Ensure 'Network security: Do not store LAN Manager hash value on next password change' is set to 'Enabled': [PASSED]"
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
Note: Older operating systems and some third-party applications may fail when this policy setting is enabled. Also, note that the password will need to be changed on all accounts after you enable this setting to gain the proper benefit.
The recommended state for this setting is: Enabled
The SAM file can be targeted by attackers who seek access to username and password hashes. Such attacks use special tools to crack passwords, which can then be used to impersonate users and gain access to resources on your network. These types of attacks will not be prevented if you enable this policy setting, but it will be much more difficult for these types of attacks to succeed.
Solution:
To establish the recommended configuration via configuration profiles, set the following Settings Catalog path to Enabled :
Local Policies Security Options\Network security: Do not store LAN Manager hash value on next password change
Impact:
None - this is the default behavior. Earlier operating systems such as Windows 95, Windows 98, and Windows ME as well as some third-party applications will fail.
See Also:
https://workbench.cisecurity.org/benchmarks/21719
Reference:
800-171|3.5.2, 800-171|3.13.16, 800-171r3|03.05.07, 800-171r3|03.13.08, 800-53|IA-5(1), 800-53|SC-28, 800-53|SC-28(1), 800-53r5|IA-5(1), 800-53r5|SC-28, 800-53r5|SC-28(1), CN-L3|8.1.4.7(b), CN-L3|8.1.4.8(b), CSCv7|16.4, CSCv8|3.11, CSF|PR.AC-1, CSF|PR.DS-1, CSF2.0|PR.AA-01, CSF2.0|PR.AA-03, CSF2.0|PR.DS-01, GDPR|32.1.a, GDPR|32.1.b, HIPAA|164.306(a)(1), HIPAA|164.312(a)(2)(i), HIPAA|164.312(a)(2)(iv), HIPAA|164.312(d), HIPAA|164.312(e)(2)(ii), ISO-27001-2022|A.5.10, ISO-27001-2022|A.5.16, ISO-27001-2022|A.5.17, ISO-27001-2022|A.5.33, ITSG-33|IA-5(1), ITSG-33|SC-28, ITSG-33|SC-28a., ITSG-33|SC-28(1), LEVEL|1A, NESA|T5.2.3, PCI-DSSv3.2.1|3.4, PCI-DSSv4.0|3.3.2, PCI-DSSv4.0|3.5.1, QCSC-v1|5.2.2, QCSC-v1|6.2, QCSC-v1|13.2, SWIFT-CSCv1|4.1, TBA-FIISB|28.1
Policy Value:
1
Actual Value:
1</t>
  </si>
  <si>
    <t>"22.26 (L1) Ensure 'Enable Network Protection' is set to 'Enabled (block mode)': [PASSED]"
This policy setting controls Microsoft Defender Exploit Guard network protection.
The recommended state for this setting is: Enabled (block mode)
This setting can help prevent employees from using any application to access dangerous domains that may host phishing scams, exploit-hosting sites, and other malicious content on the Internet.
Solution:
To establish the recommended configuration via configuration profiles, set the following Settings Catalog path to Enabled (block mode) :
Defender\Enable Network Protection
Impact:
Users and applications will not be able to access dangerous domains.
See Also:
https://workbench.cisecurity.org/benchmarks/21719
Reference:
800-171|3.13.1, 800-171r3|03.13.01, 800-53|SC-7(3), 800-53|SC-7(4), 800-53|SI-16, 800-53r5|SC-7(3), 800-53r5|SC-7(4), 800-53r5|SI-16, CN-L3|8.1.10.6(j), CSCv7|7.4, CSCv7|8.3, CSCv8|9.3, CSCv8|10.5, CSF|PR.AC-5, CSF|PR.PT-4, CSF2.0|DE.CM-01, CSF2.0|PR.DS-01, CSF2.0|PR.DS-02, CSF2.0|PR.DS-10, CSF2.0|PR.IR-01, GDPR|32.1.b, HIPAA|164.306(a)(1), ISO-27001-2022|A.5.14, ISO-27001-2022|A.8.16, ISO-27001-2022|A.8.20, ISO/IEC-27001|A.13.1.3, ITSG-33|SC-7(3), ITSG-33|SC-7(4), ITSG-33|SI-16, LEVEL|1A, NESA|T4.5.4, NIAv2|GS1, NIAv2|GS2a, NIAv2|GS2b, PCI-DSSv3.2.1|1.1, PCI-DSSv3.2.1|1.2, PCI-DSSv3.2.1|1.2.1, PCI-DSSv3.2.1|1.3, PCI-DSSv4.0|1.2.1, PCI-DSSv4.0|1.4.1, QCSC-v1|5.2.1, QCSC-v1|5.2.2, QCSC-v1|6.2, QCSC-v1|8.2.1, SWIFT-CSCv1|1.1, TBA-FIISB|43.1, TBA-FIISB|44.1.2
Policy Value:
1
Actual Value:
1</t>
  </si>
  <si>
    <t>"89.10 (L1) Ensure 'Create Symbolic Links' is set to 'Administrators': [PASSED]"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is: *S-1-5-32-544 (Administrators) and (when the
Hyper-V
feature is installed) *S-1-5-83-0 (NT VIRTUAL MACHINE\Virtual Machines).
Users who have the Create symbolic links user right could inadvertently or maliciously expose your system to symbolic link attacks. Symbolic link attacks can be used to change the permissions on a file, to corrupt data, to destroy data, or as a Denial of Service attack.
Solution:
To establish the recommended configuration via configuration profiles, set the following Settings Catalog path to *S-1-5-32-544 (Administrators) and optionally *S-1-5-83-0 (NT VIRTUAL MACHINE\Virtual Machines)
User Rights\Create Symbolic Links
Note: Include only one User or Group per line in the Settings Catalog configuration screen.
Impact:
In most cases there will be no impact because this is the default configuration. However, on Windows Workstations with the Hyper-V feature installed, this user right should also be granted to the special group NT VIRTUAL MACHINE\Virtual Machines - otherwise you will not be able to create new virtual machines.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 ('Administrators' &amp;&amp; 'Virtual Machines') || ('Administrators' &amp;&amp; 'NT VIRTUAL MACHINE\Virtual Machines')
Actual Value:
'administrators'</t>
  </si>
  <si>
    <t>"22.12 (L1) Ensure 'ASR: Block executable files from running unless they meet a prevalence, age, or trusted list criterion' is set to 'Audit' or higher: [PASSED]"
This rule blocks executable files, such as .exe, .dll, or .scr, from launching. Thus, launching untrusted or unknown executable files can be risky, as it might not be initially clear if the files are malicious.
The recommended state for this setting is: Audit Configuring this setting to Block also conforms to the benchmark.
Note: Cloud-delivered protection must be enabled to use this rule.
Organizations may find implementing Block to be too strict, however in Audit mode there is still valuable information that can be logged for threat hunters to sift through and analyze.
Solution:
To establish the recommended configuration via configuration profiles, set the following Settings Catalog path to Audit or Block
Defender\Block executable files from running unless they meet a prevalence, age, or trusted list criterion
Impact:
In order to parse audit logs effectively an organization may need to implement a SIEM solution.
See Also:
https://workbench.cisecurity.org/benchmarks/21719
Reference:
800-53|SI-16, 800-53r5|SI-16, CSCv7|8.3, CSCv8|10.5, CSF2.0|PR.DS-10, GDPR|32.1.b, HIPAA|164.306(a)(1), ITSG-33|SI-16, LEVEL|1A
Policy Value:
'\b(?i)01443614-cd74-433a-b99e-2ecdc07bfc25=(1|2)\b'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</si>
  <si>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"22.1 (L1) Ensure 'Allow Behavior Monitoring' is set to 'Allowed': [PASSED]"
This policy setting allows you to configure behavior monitoring for Microsoft Defender Antivirus.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Behavior Monitoring
Impact:
None - this is the default behavior.
See Also:
https://workbench.cisecurity.org/benchmarks/21719
Reference:
800-171|3.14.6, 800-171|3.14.7, 800-171r3|03.14.06, 800-53|SI-4, 800-53r5|SI-4, CN-L3|7.1.3.5(a), CN-L3|8.1.10.5(b), CN-L3|8.1.10.6(f), CSCv7|8.1, CSCv8|10.7, CSF|DE.AE-1, CSF|DE.AE-2, CSF|DE.AE-3, CSF|DE.AE-4, CSF|DE.CM-1, CSF|DE.CM-5, CSF|DE.CM-6, CSF|DE.CM-7, CSF|DE.DP-2, CSF|DE.DP-3, CSF|DE.DP-4, CSF|DE.DP-5, CSF|ID.RA-1, CSF|PR.DS-5, CSF|PR.IP-8, CSF|RS.AN-1, CSF|RS.CO-3, CSF2.0|DE.AE-02, CSF2.0|DE.AE-03, CSF2.0|DE.CM-01, CSF2.0|DE.CM-06, CSF2.0|DE.CM-09, CSF2.0|ID.IM-01, CSF2.0|ID.IM-02, CSF2.0|ID.IM-03, CSF2.0|ID.RA-01, CSF2.0|PR.DS-01, CSF2.0|PR.DS-02, CSF2.0|PR.DS-10, GDPR|32.1.b, HIPAA|164.306(a)(1), HIPAA|164.312(b), ISO-27001-2022|A.8.16, ITSG-33|SI-4, LEVEL|1A, NESA|M1.2.2, QCSC-v1|3.2, QCSC-v1|5.2.1, QCSC-v1|5.2.2, QCSC-v1|5.2.3, QCSC-v1|6.2, QCSC-v1|8.2.1, QCSC-v1|10.2.1, QCSC-v1|11.2
Policy Value:
1
Actual Value:
1</t>
  </si>
  <si>
    <t>"81.22 (L1) Ensure 'Routing and Remote Access (RemoteAccess)' is set to 'Disabled': [PASSED]"
Offers routing services to businesses in local area and wide area network environments.
The recommended state for this setting is: Disabled
This service's main purpose is to provide Windows router functionality - this is not an appropriate use of workstations in an enterprise managed environment.
Solution:
To establish the recommended configuration, set the following Custom Configuration Policy to 4 :
Name:  &lt;Enter name&gt;
Description: &lt;Enter Description&gt;
OMA-URI: ./Device/Vendor/MSFT/Policy/Config/SystemServices/ConfigureRoutingAndRemoteAccessServiceStartupMode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RemoteAccess -StartupType Disabled
Impact:
The computer will not be able to be configured as a Windows router between different connections.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</si>
  <si>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"22.6 (L1) Ensure 'Allow Script Scanning' is set to 'Allowed': [PASSED]"
This policy setting allows script scanning to be turned on/off. Script scanning intercepts scripts then scans them before they are executed on the system.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Script Scanning
Impact:
None - this is the default behavior.
See Also:
https://workbench.cisecurity.org/benchmarks/21719
Reference:
800-171|3.14.6, 800-171|3.14.7, 800-171r3|03.14.06, 800-53|SI-4, 800-53r5|SI-4, CN-L3|7.1.3.5(a), CN-L3|8.1.10.5(b), CN-L3|8.1.10.6(f), CSCv7|8.1, CSCv8|10.7, CSF|DE.AE-1, CSF|DE.AE-2, CSF|DE.AE-3, CSF|DE.AE-4, CSF|DE.CM-1, CSF|DE.CM-5, CSF|DE.CM-6, CSF|DE.CM-7, CSF|DE.DP-2, CSF|DE.DP-3, CSF|DE.DP-4, CSF|DE.DP-5, CSF|ID.RA-1, CSF|PR.DS-5, CSF|PR.IP-8, CSF|RS.AN-1, CSF|RS.CO-3, CSF2.0|DE.AE-02, CSF2.0|DE.AE-03, CSF2.0|DE.CM-01, CSF2.0|DE.CM-06, CSF2.0|DE.CM-09, CSF2.0|ID.IM-01, CSF2.0|ID.IM-02, CSF2.0|ID.IM-03, CSF2.0|ID.RA-01, CSF2.0|PR.DS-01, CSF2.0|PR.DS-02, CSF2.0|PR.DS-10, GDPR|32.1.b, HIPAA|164.306(a)(1), HIPAA|164.312(b), ISO-27001-2022|A.8.16, ITSG-33|SI-4, LEVEL|1A, NESA|M1.2.2, QCSC-v1|3.2, QCSC-v1|5.2.1, QCSC-v1|5.2.2, QCSC-v1|5.2.3, QCSC-v1|6.2, QCSC-v1|8.2.1, QCSC-v1|10.2.1, QCSC-v1|11.2
Policy Value:
1
Actual Value:
1</t>
  </si>
  <si>
    <t>"4.11.55.2.3 (L1) Ensure 'Allow unencrypted traffic' is set to 'Disabled': [PASSED]"
This policy setting allows you to manage whether the Windows Remote Management (WinRM) service sends and receives unencrypted messages over the network.
The recommended state for this setting is: Disabled
Encrypting WinRM network traffic reduces the risk of an attacker viewing or modifying WinRM messages as they transit the network.
Solution:
To establish the recommended configuration via configuration profiles, set the following Settings Catalog path to Disabled
Administrative Templates\Windows Components\Windows Remote Management (WinRM)\WinRM Service\Allow unencrypted traffic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CSCv7|14.4,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</si>
  <si>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"38.9 (L1) Ensure 'Enable Private Network Firewall: Default Inbound Action for Private Profile' is set to 'Block': [PASSED]"
This setting determines the behavior for inbound connections that do not match an inbound firewall rule.
The recommended state for this setting is: Block
If the firewall allows all traffic to access the system then an attacker may be more easily able to remotely exploit a weakness in a network service.
Solution:
To establish the recommended configuration via configuration profiles, set the following Settings Catalog path to Block :
Firewall\Enable Private Network Firewall: Default Inbound Action for Private Profile
Impact:
None - this is the default behavior.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</si>
  <si>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"101.2 (L1) Ensure 'Allow Networking' is set to 'Not allowed': [PASSED]"
This policy setting enables or disables networking in the Windows Sandbox. Networking is achieved by creating a virtual switch on the host, and connecting the Windows Sandbox to it via a virtual Network Interface Card (NIC).
The recommended state for this setting is: Not allowed
Note: The Windows Sandbox feature was first introduced in Windows 10 R1903, and allows a temporary 'clean install' virtual instance of Windows to be run inside the host, for the ostensible purpose of testing applications without making changes to the host.
Disabling network access decreases the attack surface exposed by the Windows Sandbox and exposure of untrusted applications to the internal network.
Note: Per Microsoft, enabling networking in the Windows Sandbox can expose untrusted applications to the internal network.
Solution:
To establish the recommended configuration via configuration profiles, set the following Settings Catalog path to Not allowed
Windows Sandbox\Allow Networking
Impact:
Network access to/from the Windows Sandbox will be disabled. Therefore, files will not be able to be moved to/from the Windows Sandbox via the network.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</si>
  <si>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"49.24 (L1) Ensure 'Network security: LAN Manager authentication level' is set to 'Send LM and NTLMv2 responses only. Refuse LM and NTLM': [PASSED]"
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Network security: LAN Manager authentication level setting determines which challenge/response authentication protocol is used for network logons. This choice affects the level of authentication protocol used by clients, the level of session security negotiated, and the level of authentication accepted by servers.
The recommended state for this setting is: Send LM and NTLMv2 responses only. Refuse LM and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attackers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You can enforce a more secure authentication protocol for Windows 95, Windows 98, and Windows NT by using NTLMv2. For the logon process, NTLMv2 uses a secure channel to protect the authentication process. Even if you use NTLMv2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
Solution:
To establish the recommended configuration via configuration profiles, set the following Settings Catalog path to: Send LM and NTLMv2 responses only. Refuse LM and NTLM :
Local Policies 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5
Actual Value:
5</t>
  </si>
  <si>
    <t>"4.10.20.1.5 (L1) Ensure 'Turn off Internet download for Web publishing and online ordering wizards' is set to 'Enabled': [PASSED]"
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
Solution:
To establish the recommended configuration via configuration profiles, set the following Settings Catalog path to Enabled
Administrative Templates\System\Internet Communication Management\Internet Communication settings\Turn off Internet download for Web publishing and online ordering wizards
Impact:
Windows is prevented from downloading providers; only the service providers cached in the local registry are displayed.
See Also:
https://workbench.cisecurity.org/benchmarks/21719
Reference:
800-171|3.4.2, 800-171|3.4.6, 800-171|3.4.7, 800-171r3|03.04.02, 800-171r3|03.04.06, 800-53|CM-6, 800-53|CM-7, 800-53r5|CM-6, 800-53r5|CM-7, CSCv7|7.4, CSCv8|4.8, CSF|PR.IP-1, CSF|PR.PT-3, CSF2.0|DE.CM-09, CSF2.0|PR.PS-01, GDPR|32.1.b, HIPAA|164.306(a)(1), ISO-27001-2022|A.8.9, ITSG-33|CM-6, ITSG-33|CM-7, LEVEL|1A, NIAv2|SS15a, PCI-DSSv3.2.1|2.2.2, SWIFT-CSCv1|2.3
Policy Value:
1
Actual Value:
1</t>
  </si>
  <si>
    <t>"4.11.55.1.1 (L1) Ensure 'Allow Basic authentication' is set to 'Disabled': [PASSED]"
This policy setting allows you to manage whether the Windows Remote Management (WinRM) client uses Basic authentication.
The recommended state for this setting is: Disabled
Note: Clients that use Microsoft's Exchange Online service (Office 365) will require an exception to this recommendation, to instead have this setting set to Enabled. Exchange Online uses Basic authentication over HTTPS, and so the Exchange Online authentication traffic will still be safely encrypted.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
Solution:
To establish the recommended configuration via configuration profiles, set the following Settings Catalog path to Disabled
Administrative Templates\Windows Components\Windows Remote Management (WinRM)\WinRM Client\Allow Basic authentication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</si>
  <si>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"24.1 (L1) Ensure 'Configure System Guard Launch' is set to 'Unmanaged Enables Secure Launch if supported by hardware': [PASSED]"
Secure Launch protects the Virtualization Based Security environment from exploited vulnerabilities in device firmware.
The recommended state for this setting is: Unmanaged Enables Secure Launch if supported by hardware
Note: Credential Guard and Device Guard are not currently supported when using Azure IaaS VMs.
Secure Launch changes the way Windows boots to use Intel Trusted Execution Technology (TXT) and Runtime BIOS Resilience features to prevent firmware exploits from being able to impact the security of the Windows Virtualization Based Security environment.
Solution:
To establish the recommended configuration via configuration profiles, set the following Settings Catalog path to Unmanaged Enables Secure Launch if supported by hardware :
Device Guard\Configure System Guard Launch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 All drivers on the system must be compatible with this feature or the system may crash. Ensure that this policy setting is only deployed to computers which are known to be compatible.
See Also:
https://workbench.cisecurity.org/benchmarks/21719
Reference:
800-53|SI-16, 800-53r5|SI-16, CSCv7|8.3, CSCv8|10.5, CSF2.0|PR.DS-10, GDPR|32.1.b, HIPAA|164.306(a)(1), ITSG-33|SI-16, LEVEL|1A
Policy Value:
1
Actual Value:
1</t>
  </si>
  <si>
    <t>"38.7 (L1) Ensure 'Enable Domain Network Firewall: Log Max File Size' is set to '16,384 KB or greater': [PASSED]"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16,384 KB or greater :
Firewall\Enable Domain Network Firewall: Log Max File Size (KB)
Impact:
The log file size will be limited to the specified size, old events will be overwritten by newer ones when the limit is reached.
See Also:
https://workbench.cisecurity.org/benchmarks/21719
Reference:
800-53|AU-4, 800-53r5|AU-4, CSCv7|6.4, CSCv7|9.4, CSCv8|8.3, CSF|PR.DS-4, CSF|PR.PT-1, GDPR|32.1.b, HIPAA|164.306(a)(1), HIPAA|164.312(b), ISO-27001-2022|A.8.6, ITSG-33|AU-4, LEVEL|1A, NESA|T3.3.1, NESA|T3.6.2, QCSC-v1|8.2.1, QCSC-v1|13.2
Policy Value:
[16384..4294967295]
Actual Value:
32767</t>
  </si>
  <si>
    <t>"89.17 (L1) Ensure 'Deny Remote Desktop Services Log On' to include 'Guests, Local account': [PASSED]"
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
The recommended state for this setting is to include: *S-1-5-32-546 and *S-1-5-113 (Guests, Local account).
Caution: Configuring a standalone (non-domain-joined) workstation as described above may result in an inability to remotely administer the workstation.
Caution #2: Configuring a cloud system workstation as described above may result in an inability log on to the workstation. In this case, Local Accounts need this ability for the log on to succeed.
Note: The security identifier Local account is not available in Windows 7 and Windows 8.0 unless
MSKB 2871997
has been installed.
Note #2: In all versions of Windows prior to Windows 7, Remote Desktop Services was known as Terminal Services so you should substitute the older term if comparing against an older OS.
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
Solution:
To establish the recommended configuration via configuration profiles, set the following Settings Catalog path to *S-1-5-32-546 and *S-1-5-113 (Guests, Local account).
User Rights\Deny Remote Desktop Services Log On
Note: Include only one User or Group per line in the Settings Catalog configuration screen.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&amp;&amp; 'Local account'
Actual Value:
'guests' &amp;&amp; 'local account'</t>
  </si>
  <si>
    <t>"4.5.10 (L1) Ensure 'MSS: (ScreenSaverGracePeriod) The time in seconds before the screen saver grace period expires (0 recommended)' is set to 'Enabled: 5 or fewer seconds': [PASSED]"
Windows includes a grace period between when the screen saver is launched and when the console is actually locked automatically when screen saver locking is enabled.
The recommended state for this setting is: Enabled: 5 or fewer seconds
The default grace period that is allowed for user movement before the screen saver lock takes effect is five seconds. If you leave the default grace period configuration, your computer is vulnerable to a potential attack from someone who could approach the console and attempt to log on to the computer before the lock takes effect. An entry to the registry can be made to adjust the length of the grace period.
Solution:
To establish the recommended configuration via configuration profiles, set the following Settings Catalog path to Enabled: 5 or fewer seconds
Administrative Templates\MSS (Legacy)\MSS: (ScreenSaverGracePeriod) The time in seconds before the screen saver grace period expires (0 recommended)
Impact:
Users will have to enter their passwords to resume their console sessions as soon as the grace period ends after screen saver activation.
See Also:
https://workbench.cisecurity.org/benchmarks/21719
Reference:
800-171|3.1.1, 800-171|3.1.10, 800-171|3.1.11, 800-171r3|03.01.01h., 800-171r3|03.01.10, 800-171r3|03.01.11, 800-53|AC-2(5), 800-53|AC-11, 800-53|AC-11(1), 800-53|AC-12, 800-53r5|AC-2(5), 800-53r5|AC-11, 800-53r5|AC-11(1), 800-53r5|AC-12, CN-L3|7.1.2.2(d), CN-L3|7.1.3.2(d), CN-L3|7.1.3.7(b), CN-L3|8.1.4.1(b), CSCv7|16.11, CSCv8|4.3, CSF|PR.AC-1, CSF|PR.AC-4, CSF2.0|DE.CM-01, CSF2.0|DE.CM-03, CSF2.0|PR.AA-01, CSF2.0|PR.AA-03, CSF2.0|PR.AA-05, CSF2.0|PR.DS-10, GDPR|32.1.b, HIPAA|164.306(a)(1), HIPAA|164.312(a)(1), HIPAA|164.312(a)(2)(iii), ISO-27001-2022|A.5.16, ISO-27001-2022|A.5.18, ISO-27001-2022|A.7.7, ISO-27001-2022|A.8.1, ISO-27001-2022|A.8.2, ISO/IEC-27001|A.9.2.1, ISO/IEC-27001|A.11.2.8, ITSG-33|AC-2(5), ITSG-33|AC-11, ITSG-33|AC-11(1), ITSG-33|AC-12, LEVEL|1A, NIAv2|AM23c, NIAv2|AM23d, NIAv2|AM28, NIAv2|NS5j, NIAv2|NS49, NIAv2|SS14e, PCI-DSSv3.2.1|8.1.8, PCI-DSSv4.0|8.2.8, QCSC-v1|5.2.2, QCSC-v1|8.2.1, QCSC-v1|13.2, QCSC-v1|15.2, TBA-FIISB|36.2.1, TBA-FIISB|37.1.4
Policy Value:
[0..5]
Actual Value:
5</t>
  </si>
  <si>
    <t>"38.2 (L1) Ensure 'Enable Domain Network Firewall: Default Inbound Action for Domain Profile' is set to 'Block': [PASSED]"
This setting determines the behavior for inbound connections that do not match an inbound firewall rule.
The recommended state for this setting is: Block
If the firewall allows all traffic to access the system then an attacker may be more easily able to remotely exploit a weakness in a network service.
Solution:
To establish the recommended configuration via configuration profiles, set the following Settings Catalog path to Block :
Firewall\Enable Domain Network Firewall: Default Inbound Action for Domain Profile
Impact:
None - this is the default behavior.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</si>
  <si>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"24.3 (L1) Ensure 'Enable Virtualization Based Security' is set to 'Enable virtualization based security': [PASSED]"
This policy setting specifies whether Virtualization Based Security is enabled. Virtualization Based Security uses the Windows Hypervisor to provide support for security services.
The recommended state for this setting is: Enable virtualization based security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Kerberos, NTLM, and Credential manager isolate secrets by using virtualization-based security. Previous versions of Windows stored secrets in the Local Security Authority (LSA). Prior to Windows 10, the LSA stored secrets used by the operating system in its process memory. With Windows Defender Credential Guard enabled, the LSA process in the operating system talks to a new component called the isolated LSA process that stores and protects those secrets. Data stored by the isolated LSA process is protected using virtualization-based security and is not accessible to the rest of the operating system.
Solution:
To establish the recommended configuration via configuration profiles, set the following Settings Catalog path to Enable virtualization based security :
Device Guard\Enable Virtualization Based Security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See Also:
https://workbench.cisecurity.org/benchmarks/21719
Reference:
800-53|SI-16, 800-53r5|SI-16, CSCv7|8.3, CSCv8|10.5, CSF2.0|PR.DS-10, GDPR|32.1.b, HIPAA|164.306(a)(1), ITSG-33|SI-16, LEVEL|1A
Policy Value:
1
Actual Value:
1</t>
  </si>
  <si>
    <t>"4.11.36.4.9.5 (L1) Ensure 'Set client connection encryption level' is set to 'Enabled: High Level': [PASSED]"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an attacker will be able to decrypt any captured Remote Desktop Services network traffic.
Solution:
To establish the recommended configuration via configuration profiles, set the following Settings Catalog path to Enabled: High Level
Administrative Templates\Windows Components\Remote Desktop Services\Remote Desktop Session Host\Security\Set client connection encryption level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3
Actual Value:
3</t>
  </si>
  <si>
    <t>"97.2 (L1) Ensure 'Facial Features Use Enhanced Anti Spoofing' is set to 'true': [PASSED]"
This policy setting determines whether enhanced anti-spoofing is configured for devices which support it.
The recommended state for this setting is: true
Enterprise managed environments are now supporting a wider range of mobile devices, increasing the security on these devices will help protect against unauthorized access on your network.
Solution:
To establish the recommended configuration via configuration profiles, set the following Settings Catalog path to true
Windows Hello For Business\Facial Features Use Enhanced Anti Spoofing
Impact:
Windows will require all users on the device to use anti-spoofing for facial features, on devices which support it.
See Also:
https://workbench.cisecurity.org/benchmarks/21719
Reference:
800-53|SC-39, 800-53|SI-16, 800-53r5|SC-39, 800-53r5|SI-16, CSCv7|8.3, CSF2.0|PR.DS-01, CSF2.0|PR.DS-10, CSF2.0|PR.IR-03, GDPR|32.1.b, HIPAA|164.306(a)(1), ITSG-33|SI-16, LEVEL|1A, QCSC-v1|5.2.1
Policy Value:
1
Actual Value:
1</t>
  </si>
  <si>
    <t>"38.5 (L1) Ensure 'Enable Domain Network Firewall: Enable Log Success Connections' is set to 'Enable Logging Of Successful Connections': [PASSED]"
Use this option to log when Windows Firewall with Advanced Security allows an inbound connection. The log records why and when the connection was formed. Look for entries with the word ALLOW in the action column of the log.
The recommended state for this setting is: Enable Logging Of Successful Connections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Successful Connections :
Firewall\Enable Domain Network Firewall: Enable Log Success Connections
Impact:
Information about successful connections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</si>
  <si>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"4.7.1 (L1) Ensure 'Allow Print Spooler to accept client connections' is set to 'Disabled': [PASSED]"
This policy setting controls whether the Print Spooler service will accept client connections.
The recommended state for this setting is: Disabled
Note: The Print Spooler service must be restarted for changes to this policy to take effect.
Disabling the ability for the Print Spooler service to accept client connections mitigates remote attacks against the PrintNightmare vulnerability (
CVE-2021-34527
) and other remote Print Spooler attacks. However, this recommendation
does not
mitigate against local attacks on the Print Spooler service.
Solution:
To establish the recommended configuration via configuration profiles, set the following Settings Catalog path to Disabled
Administrative Templates\Printers\Allow Print Spooler to accept client connections
Impact:
Provided that the Print Spooler service is not disabled, users will continue to be able to print
from their workstation
. However, the workstation's Print Spooler service will not accept client connections or allow users to share printers. Note that all printers that were already shared will continue to be shared.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CSCv8|4.1, CSCv8|4.8,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2
Actual Value:
2</t>
  </si>
  <si>
    <t>"103.3 (L1) Ensure 'Defer Quality Updates Period (Days)' is set to 'Enabled: 0 days': [PASSED]"
This policy settings controls when Quality Updates are received.
The recommended state for this setting is: Enabled: 0 days
Note: If the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
Quality Updates can contain important bug fixes and/or security patches, and should be installed as soon as possible.
Solution:
To establish the recommended configuration via configuration profiles, set the following Settings Catalog path to Enabled:0 days
Windows Update for Business\Defer Quality Updates Period (Days)
Impact:
None - this is the default behavior.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0
Actual Value:
0</t>
  </si>
  <si>
    <t>"4.6.9.1 (L1) Ensure 'Prohibit installation and configuration of Network Bridge on your DNS domain network' is set to 'Enabled': [PASSED]"
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
Solution:
To establish the recommended configuration via configuration profiles, set the following Settings Catalog path to Enabled
Administrative Templates\Network\Network Connections\Prohibit installation and configuration of Network Bridge on your DNS domain network
Impact:
Users cannot create or configure a Network Bridge.
See Also:
https://workbench.cisecurity.org/benchmarks/21719
Reference:
800-171|3.1.16, 800-171|3.1.17, 800-171|3.4.1, 800-171|3.4.2, 800-171|3.4.6, 800-171|3.4.7, 800-171r3|03.01.16, 800-171r3|03.04.01, 800-171r3|03.04.02, 800-171r3|03.04.06, 800-53|AC-18, 800-53|AC-18(1), 800-53|AC-18(3), 800-53|CM-2, 800-53|CM-6, 800-53|CM-7, 800-53|CM-7(1), 800-53|CM-9, 800-53r5|AC-18, 800-53r5|AC-18(1), 800-53r5|AC-18(3), 800-53r5|CM-2, 800-53r5|CM-6, 800-53r5|CM-7, 800-53r5|CM-7(1), 800-53r5|CM-9, CSCv7|11.3, CSCv8|4.2, CSF|DE.AE-1, CSF|PR.DS-7, CSF|PR.IP-1, CSF|PR.PT-3, CSF|PR.PT-4, CSF2.0|DE.CM-09, CSF2.0|ID.AM-08, CSF2.0|PR.AA-05, CSF2.0|PR.PS-01, GDPR|32.1.b, HIPAA|164.306(a)(1), HIPAA|164.312(a)(1), ISO-27001-2022|A.5.2, ISO-27001-2022|A.5.14, ISO-27001-2022|A.8.9, ISO-27001-2022|A.8.20, ITSG-33|AC-18, ITSG-33|AC-18(1), ITSG-33|AC-18(3), ITSG-33|CM-2, ITSG-33|CM-6, ITSG-33|CM-7, ITSG-33|CM-7(1), ITSG-33|CM-9, LEVEL|1A, NESA|T1.2.1, NESA|T1.2.2, NESA|T3.2.5, NESA|T5.4.2, NESA|T7.5.1, NESA|T7.5.3, NESA|T7.6.1, NESA|T7.6.2, NESA|T7.6.3, NIAv2|NS33, NIAv2|NS34, NIAv2|NS38, NIAv2|SS15a, NIAv2|SS16, PCI-DSSv3.2.1|2.2.2, QCSC-v1|3.2, QCSC-v1|5.2.1, QCSC-v1|5.2.2, SWIFT-CSCv1|2.3
Policy Value:
0
Actual Value:
0</t>
  </si>
  <si>
    <t>"4.11.5.1 (L1) Ensure 'Do not preserve zone information in file attachments (User)' is set to 'Disabled': [PASSED]"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The recommended state for this setting is: Disabled
Note: The Attachment Manager feature warns users when opening or executing files which are marked as being from an untrusted source, unless/until the file's zone information has been removed via the 'Unblock' button on the file's properties or via a separate tool such as
Microsoft Sysinternals Streams
.
A file that is downloaded from a computer in the Internet or Restricted Sites zone may be moved to a location that makes it appear safe, like an intranet file share, and executed by an unsuspecting user. The Attachment Manager feature will warn users when opening or executing files which are marked as being from an untrusted source, unless/until the file's zone information has been removed.
Solution:
To establish the recommended configuration via configuration profiles, set the following Settings Catalog path to Disabled
Administrative Templates\Windows Components\Attachment Manager\Do not preserve zone information in file attachments (User)
Impact:
None - this is the default behavior.
See Also:
https://workbench.cisecurity.org/benchmarks/21719
Reference:
800-171|3.4.2, 800-171r3|03.04.02a., 800-53|CM-6b., 800-53r5|CM-6b., CN-L3|8.1.10.6(d), CSF|PR.IP-1, CSF2.0|DE.CM-09, CSF2.0|PR.PS-01, GDPR|32.1.b, HIPAA|164.306(a)(1), ISO-27001-2022|A.8.9, ITSG-33|CM-6b., LEVEL|1A, NESA|T3.2.1, SWIFT-CSCv1|2.3
Policy Value:
2
Actual Value:
Compliant items:</t>
  </si>
  <si>
    <t>"6.14 (L1) Ensure 'Audit Special Logon' is set to include 'Success': [PASSED]"
This subcategory reports when a special logon is used. A special logon is a logon that has administrator-equivalent privileges and can be used to elevate a process to a higher level. Events for this subcategory include:
 - 4964: Special groups have been assigned to a new logon.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Special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</si>
  <si>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"34.1 (L1) Ensure 'Allow Cortana' is set to 'Block': [PASSED]"
This policy setting specifies whether Cortana is allowed on the device.
The recommended state for this setting is: Block
If Cortana is enabled, sensitive information could be contained in search history and sent out to Microsoft.
Solution:
To establish the recommended configuration via configuration profiles, set the following Settings Catalog path to Block :
Experience\Allow Cortana
Impact:
Cortana will be turned off. Users will still be able to use search to find things on the device and on the Internet.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</si>
  <si>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"38.22 (L1) Ensure 'Enable Public Network Firewall: Log File Path' is set to '%SystemRoot%\System32\logfiles\firewall\publicfw.log': [PASSED]"
Use this option to specify the path and name of the file in which Windows Firewall will write its log information.
The recommended state for this setting is: %SystemRoot%\System32\logfiles\firewall\publicfw.log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configuration profiles, set the following Settings Catalog path to %SystemRoot%\System32\logfiles\firewall\publicfw.log :
Firewall\Enable Public Network Firewall: Log File Path
Impact:
The log file will be stored in the specified file.
See Also:
https://workbench.cisecurity.org/benchmarks/21719
Reference:
800-171|3.3.1, 800-171|3.3.2, 800-171|3.3.6, 800-171r3|03.03.01, 800-171r3|03.03.03, 800-171r3|03.03.06a., 800-53|AU-2, 800-53|AU-7, 800-53|AU-12, 800-53r5|AU-2, 800-53r5|AU-7, 800-53r5|AU-12, CN-L3|7.1.2.3(c), CN-L3|8.1.4.3(a), CSCv7|6.3, CSCv7|9.4, CSCv8|8.2, CSF|DE.CM-1, CSF|DE.CM-3, CSF|DE.CM-7, CSF|PR.PT-1, CSF|RS.AN-3, CSF2.0|DE.CM-01, CSF2.0|DE.CM-03, CSF2.0|DE.CM-09, CSF2.0|PR.PS-04, CSF2.0|RS.AN-03, CSF2.0|RS.AN-06, CSF2.0|RS.AN-07, GDPR|32.1.b, HIPAA|164.306(a)(1), HIPAA|164.312(b), ISO-27001-2022|A.8.15, ITSG-33|AU-2, ITSG-33|AU-7, ITSG-33|AU-12, LEVEL|1A, NESA|M1.2.2, NESA|M5.5.1, NIAv2|AM7, NIAv2|AM11a, NIAv2|AM11b, NIAv2|AM11c, NIAv2|AM11d, NIAv2|AM11e, NIAv2|SS30, NIAv2|VL8, PCI-DSSv3.2.1|10.1, QCSC-v1|3.2, QCSC-v1|6.2, QCSC-v1|8.2.1, QCSC-v1|10.2.1, QCSC-v1|11.2, QCSC-v1|13.2, SWIFT-CSCv1|6.4
Policy Value:
'%SystemRoot%\System32\logfiles\firewall\publicfw.log'
Actual Value:
'%SystemRoot%\System32\logfiles\firewall\Publicfw.log'</t>
  </si>
  <si>
    <t>"22.15 (L1) Ensure 'ASR: Block Office applications from creating executable content' is set to 'Block': [PASSED]"
This rule prevents scripts from launching potentially malicious downloaded content. Malware written in JavaScript or VBScript often acts as a downloader to fetch and launch other malware from the Internet. Although not common, line-of-business applications sometimes use scripts to download and launch installers.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Office applications from creating executable content
Impact:
When a rule is triggered, a notification will be displayed from the Action Center.
See Also:
https://workbench.cisecurity.org/benchmarks/21719
Reference:
800-53|SI-16, 800-53r5|SI-16, CSCv7|8.3, CSCv8|10.5, CSF2.0|PR.DS-10, GDPR|32.1.b, HIPAA|164.306(a)(1), ITSG-33|SI-16, LEVEL|1A
Policy Value:
'\b(?i)3b576869-a4ec-4529-8536-b80a7769e899=1\b'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</si>
  <si>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"55.8 (L1) Ensure 'MSI Always install with elevated privileges (User)' is set to 'Disabled': [PASSED]"
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
Solution:
To establish the recommended configuration via configuration profiles, set the following Settings Catalog path to Disabled :
Microsoft App Store\MSI Always install with elevated privileges (User)
Impact:
None - this is the default behavior.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0
Actual Value:
Compliant items:</t>
  </si>
  <si>
    <t>"38.6 (L1) Ensure 'Enable Domain Network Firewall: Log File Path' is set to '%SystemRoot%\System32\logfiles\firewall\domainfw.log': [PASSED]"
Use this option to specify the path and name of the file in which Windows Firewall will write its log information.
The recommended state for this setting is: %SystemRoot%\System32\logfiles\firewall\domainfw.log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configuration profiles, set the following Settings Catalog path to %SystemRoot%\System32\logfiles\firewall\domainfw.log :
Firewall\Enable Domain Network Firewall: Log File Path
Impact:
The log file will be stored in the specified file.
See Also:
https://workbench.cisecurity.org/benchmarks/21719
Reference:
800-171|3.3.1, 800-171|3.3.2, 800-171|3.3.6, 800-171r3|03.03.01, 800-171r3|03.03.03, 800-171r3|03.03.06a., 800-53|AU-2, 800-53|AU-7, 800-53|AU-12, 800-53r5|AU-2, 800-53r5|AU-7, 800-53r5|AU-12, CN-L3|7.1.2.3(c), CN-L3|8.1.4.3(a), CSCv7|6.3, CSCv7|9.4, CSCv8|8.2, CSF|DE.CM-1, CSF|DE.CM-3, CSF|DE.CM-7, CSF|PR.PT-1, CSF|RS.AN-3, CSF2.0|DE.CM-01, CSF2.0|DE.CM-03, CSF2.0|DE.CM-09, CSF2.0|PR.PS-04, CSF2.0|RS.AN-03, CSF2.0|RS.AN-06, CSF2.0|RS.AN-07, GDPR|32.1.b, HIPAA|164.306(a)(1), HIPAA|164.312(b), ISO-27001-2022|A.8.15, ITSG-33|AU-2, ITSG-33|AU-7, ITSG-33|AU-12, LEVEL|1A, NESA|M1.2.2, NESA|M5.5.1, NIAv2|AM7, NIAv2|AM11a, NIAv2|AM11b, NIAv2|AM11c, NIAv2|AM11d, NIAv2|AM11e, NIAv2|SS30, NIAv2|VL8, PCI-DSSv3.2.1|10.1, QCSC-v1|3.2, QCSC-v1|6.2, QCSC-v1|8.2.1, QCSC-v1|10.2.1, QCSC-v1|11.2, QCSC-v1|13.2, SWIFT-CSCv1|6.4
Policy Value:
'%SystemRoot%\System32\logfiles\firewall\domainfw.log'
Actual Value:
'%SystemRoot%\System32\logfiles\firewall\domainfw.log'</t>
  </si>
  <si>
    <t>"6.8 (L1) Ensure 'Audit Authorization Policy Change' is set to include 'Success': [PASSED]"
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Authorization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</si>
  <si>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"38.1 (L1) Ensure 'Enable Domain Network Firewall' is set to 'True': [PASSED]"
Select True (recommended) to have Windows Firewall with Advanced Security use the settings for this profile to filter network traffic. If you select False, Windows Firewall with Advanced Security will not use any of the firewall rules or connection security rules for this profile.
The recommended state for this setting is: True
If the firewall is turned off all traffic will be able to access the system and an attacker may be more easily able to remotely exploit a weakness in a network service.
Solution:
To establish the recommended configuration via configuration profiles, set the following Settings Catalog path to True :
Firewall\Enable Domain Network Firewall
Impact:
None - this is the default behavior.
See Also:
https://workbench.cisecurity.org/benchmarks/21719
Reference:
800-171|3.13.1, 800-171|3.13.5, 800-171|3.13.6, 800-171r3|03.13.01, 800-171r3|03.13.06, 800-53|SC-7, 800-53|SC-7(5), 800-53r5|SC-7, 800-53r5|SC-7(5), CN-L3|7.1.2.2(c), CN-L3|8.1.10.6(j), CSCv7|9.4,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</si>
  <si>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"22.3 (L1) Ensure 'Allow Full Scan Removable Drive Scanning' is set to 'Allowed': [PASSED]"
This policy setting allows you to manage whether or not to scan for malicious software and unwanted software in the contents of removable drives, such as USB flash drives, when running a full scan.
The recommended state for this setting is: Allowed
It is important to ensure that any present removable drives are always included in any type of scan, as removable drives are more likely to contain malicious software brought in to the enterprise managed environment from an external, unmanaged computer.
Solution:
To establish the recommended configuration via configuration profiles, set the following Settings Catalog path to Allowed
Defender Antivirus\Allow Full Scan Removable Drive Scanning
Impact:
Removable drives will be scanned during any type of scan by Microsoft Defender Antivirus.
See Also:
https://workbench.cisecurity.org/benchmarks/21719
Reference:
800-171|3.8.7, 800-171|3.14.2, 800-171|3.14.4, 800-171|3.14.5, 800-171r3|03.08.07, 800-171r3|03.14.02, 800-53|MP-7, 800-53|SI-3, 800-53r5|MP-7, 800-53r5|SI-3, CN-L3|7.1.3.6(b), CN-L3|8.1.4.5, CN-L3|8.1.9.6(a), CN-L3|8.1.9.6(b), CN-L3|8.1.10.5(b), CN-L3|8.1.10.7(a), CN-L3|8.1.10.7(b), CN-L3|8.5.4.1(c), CSCv7|8.4, CSCv8|10.4, CSF|DE.CM-4, CSF|DE.DP-3, CSF|PR.PT-2, CSF2.0|PR.DS-01, CSF2.0|PR.DS-02, CSF2.0|PR.DS-10, GDPR|32.1.b, HIPAA|164.306(a)(1), HIPAA|164.312(a)(1), ISO-27001-2022|A.5.10, ISO-27001-2022|A.7.10, ISO-27001-2022|A.8.7, ISO/IEC-27001|A.8.3.1, ISO/IEC-27001|A.8.3.3, ISO/IEC-27001|A.12.2.1, ITSG-33|SI-3, LEVEL|1A, NESA|T1.4.1, NIAv2|GS8a, PCI-DSSv3.2.1|5.1, PCI-DSSv3.2.1|5.1.1, PCI-DSSv4.0|5.2.1, QCSC-v1|3.2, QCSC-v1|5.2.3, QCSC-v1|8.2.1, TBA-FIISB|49.2.1, TBA-FIISB|49.2.2, TBA-FIISB|49.3.1, TBA-FIISB|49.3.2, TBA-FIISB|50.2.1, TBA-FIISB|51.2.4, TBA-FIISB|51.2.7
Policy Value:
1
Actual Value:
1</t>
  </si>
  <si>
    <t>"89.35 (L1) Ensure 'Take Ownership' is set to 'Administrators': [PASSED]"
This policy setting allows users to take ownership of files, folders, registry keys, processes, or threads. This user right bypasses any permissions that are in place to protect objects to give ownership to the specified user.
The recommended state for this setting is: *S-1-5-32-544 (Administrators).
Note: This user right is considered a 'sensitive privilege' for the purposes of auditing.
Any users with the Take ownership of files or other objects user right can take control of any object, regardless of the permissions on that object, and then make any changes they wish to that object. Such changes could result in exposure of data, corruption of data, or a DoS condition.
Solution:
To establish the recommended configuration via configuration profiles, set the following Settings Catalog path to *S-1-5-32-544 (Administrators).
User Rights\Take Ownership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</si>
  <si>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"22.13 (L1) Ensure 'ASR: Block execution of potentially obfuscated scripts' is set to 'Audit' or higher: [PASSED]"
This rule blocks Office apps from creating child processes. Office apps include Word, Excel, PowerPoint, OneNote, and Access.
Creating malicious child processes is a common malware strategy. Malware that abuses Office as a vector often runs VBA macros and exploit code to download and attempt to run more payloads. However, some legitimate line-of-business applications might also generate child processes for benign purposes; such as spawning a command prompt or using PowerShell to configure registry settings.
The recommended state for this setting is: Audit Configuring this setting to Block also conforms to the benchmark.
Attack surface reduction helps prevent actions and apps that are typically used by exploit-seeking malware to infect machines.
Solution:
To establish the recommended configuration via configuration profiles, set the following Settings Catalog path to Audit or Block
Defender\Block execution of potentially obfuscated scripts
Impact:
When a rule is triggered, a notification will be displayed from the Action Center.
See Also:
https://workbench.cisecurity.org/benchmarks/21719
Reference:
800-53|SI-16, 800-53r5|SI-16, CSCv7|8.3, CSCv8|10.5, CSF2.0|PR.DS-10, GDPR|32.1.b, HIPAA|164.306(a)(1), ITSG-33|SI-16, LEVEL|1A
Policy Value:
'\b(?i)5beb7efe-fd9a-4556-801d-275e5ffc04cc=(1|2)\b'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</si>
  <si>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"4.10.19.1 (L1) Ensure 'Continue experiences on this device' is set to 'Disabled': [PASSED]"
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
Solution:
To establish the recommended configuration via configuration profiles, set the following Settings Catalog path to Disabled
Administrative Templates\System\Group Policy\Continue experiences on this device
Impact:
The Windows device will not be discoverable by other devices, and cannot participate in cross-device experiences.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</si>
  <si>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"49.35 (L1) Ensure 'User Account Control: Virtualize file and registry write failures to per-user locations' is set to 'Enabled': [PASSED]"
This policy setting controls whether application write failures are redirected to defined registry and file system locations. This policy setting mitigates applications that run as administrator and write run-time application data to:
 - %ProgramFiles%
 - %windir%
 - %windir%\System32
 - HKLM\SOFTWARE
The recommended state for this setting is: Enabled
This setting reduces vulnerabilities by ensuring that legacy applications only write data to permitted locations.
Solution:
To establish the recommended configuration via configuration profiles, set the following Settings Catalog path to Enabled :
Local Policies Security Options\User Account Control: Virtualize file and registry write failures to per-user locations
Impact:
None - this is the default behavior.
See Also:
https://workbench.cisecurity.org/benchmarks/21719
Reference:
800-53|SC-29(1), 800-53r5|SC-29(1), GDPR|32.1.b, HIPAA|164.306(a)(1), ITSG-33|SC-29, ITSG-33|SC-29a., LEVEL|1A, QCSC-v1|5.2.1
Policy Value:
1
Actual Value:
1</t>
  </si>
  <si>
    <t>"4.6.18.1 (L1) Ensure 'Minimize the number of simultaneous connections to the Internet or a Windows Domain' is set to 'Enabled: 3 = Prevent Wi-Fi when on Ethernet': [PASSED]"
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
Solution:
To establish the recommended configuration via configuration profiles, set the following Settings Catalog path to Enabled: 3 = Prevent Wi-Fi when on Ethernet
Administrative Templates\Network\Windows Connection Manager\Minimize the number of simultaneous connections to the Internet or a Windows Domain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CSCv7|15.5,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3
Actual Value:
3</t>
  </si>
  <si>
    <t>"89.1 (L1) Ensure 'Access Credential Manager As Trusted Caller' is set to 'No One': [PASSED]"
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
Solution:
To establish the recommended configuration via configuration profiles, set the following Settings Catalog path to (&lt;![CDATA[]]&gt;) which represents No One
User Rights\Access Credential Manager As Trusted Caller
Note: Using (&lt;![CDATA[]]&gt;) to represent a blank value or No One is recommended by Microsoft. However, there is a known issue where an error occurs in Endpoint Manger (Intune) but this does not affect the policy setting from being applied properly to the system.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CSCv7|4.8,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</si>
  <si>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"6.16 (L1) Ensure 'Detailed Tracking Audit PNP Activity' is set to include 'Success': [PASSED]"
This policy setting allows you to audit when plug and play detects an external device.
The recommended state for this setting is to include: Success
Note: A Windows 10, Server 2016 or newer OS is required to access and set this value in Group Policy.
Enabling this setting will allow a user to audit events when a device is plugged into a system. This can help alert IT staff if unapproved devices are plugged in.
Solution:
To establish the recommended configuration via configuration profiles, set the following Settings Catalog path to Success
Auditing\Detailed Tracking Audit PNP Activity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</si>
  <si>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"4.6.4.1 (L1) Ensure 'Turn off multicast name resolution' is set to 'Enabled': [PASSED]"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An attacker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
Solution:
To establish the recommended configuration via configuration profiles, set the following Settings Catalog path to Enabled
Administrative Templates\Network\DNS Client\Turn off multicast name resolution
Impact:
In the event DNS is unavailable a system will be unable to request it from other systems on the same subnet.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</si>
  <si>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"22.19 (L1) Ensure 'ASR: Block process creations originating from PSExec and WMI commands' is set to 'Audit' or higher: [PASSED]"
This rule blocks processes created through PsExec and WMI from running. Both PsExec and WMI can remotely execute code.
The recommended state for this setting is: Audit Configuring this setting to Block also conforms to the benchmark.
There's a risk of malware abusing functionality of PsExec and WMI for command and control purposes, or to spread an infection throughout an organization's network.
Solution:
To establish the recommended configuration via configuration profiles, set the following Settings Catalog path to Audit or Block
Defender\Block process creations originating from PSExec and WMI commands
Impact:
Warning: Only use this rule if you're managing your devices with Intune or another MDM solution. This rule is incompatible with management through Microsoft Endpoint Configuration Manager because this rule blocks WMI commands the Configuration Manager client uses to function correctly.
It is recommended to start with Audit mode and move to Block.
See Also:
https://workbench.cisecurity.org/benchmarks/21719
Reference:
800-53|SI-16, 800-53r5|SI-16, CSCv7|8.3, CSCv8|10.5, CSF2.0|PR.DS-10, GDPR|32.1.b, HIPAA|164.306(a)(1), ITSG-33|SI-16, LEVEL|1A
Policy Value:
'\b(?i)d1e49aac-8f56-4280-b9ba-993a6d77406c=(1|2)\b'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</si>
  <si>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"105.4 (L1) Ensure 'Password Length' is set to 'Configured: 15 or more': [PASSED]"
This policy setting configures the Windows LAPS Password Settings policy for password length.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Configured: 15 or more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Password Length to Configured: 15 (or more)
Impact:
Windows LAPS-generated passwords will be required to have a length of 15 characters (or more, if selected).
See Also:
https://workbench.cisecurity.org/benchmarks/21719
Reference:
800-171|3.5.2, 800-171r3|03.05.07, 800-53|IA-5(1), 800-53r5|IA-5(1), CSCv7|4.4, CSCv8|5.2, CSF|PR.AC-1, CSF2.0|PR.AA-01, CSF2.0|PR.AA-03, GDPR|32.1.b, HIPAA|164.306(a)(1), HIPAA|164.312(a)(2)(i), HIPAA|164.312(d), ISO-27001-2022|A.5.16, ISO-27001-2022|A.5.17, ITSG-33|IA-5(1), LEVEL|1A, NESA|T5.2.3, QCSC-v1|5.2.2, QCSC-v1|13.2, SWIFT-CSCv1|4.1
Policy Value:
[15..4294967295]
Actual Value:
15</t>
  </si>
  <si>
    <t>"4.11.15.4.2 (L1) Ensure 'Specify the maximum log file size (KB)' is set to 'Enabled: 32,768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32,768 or greater
Administrative Templates\Windows Components\Event Log Service\System\Specify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[32768..4294967295]
Actual Value:
204800</t>
  </si>
  <si>
    <t>"22.7 (L1) Ensure 'ASR: Block abuse of exploited vulnerable signed drivers' is set to 'Block': [PASSED]"
This rule prevents an application from writing a vulnerable signed driver to disk.
The recommended state for this setting is: Block
Note: The
Block abuse of exploited vulnerable signed drivers
rule does not block a driver that already exists on the system from being loaded.
Attack surface reduction helps prevent actions and apps that are typically used by exploit-seeking malware to infect systems.
Vulnerable signed drivers can be exploited by local applications that have sufficient privileges to gain access to the kernel. This enables attackers to disable or circumvent security solutions, eventually leading to system compromise.
Solution:
To establish the recommended configuration via configuration profiles, set the following Settings Catalog path to Block
Defender\Block abuse of exploited vulnerable signed drivers (Device)
Impact:
When a rule is triggered, a notification will be displayed from the Action Center.
See Also:
https://workbench.cisecurity.org/benchmarks/21719
Reference:
800-53|SI-16, 800-53r5|SI-16, CSCv7|8.3, CSCv8|10.5, CSF2.0|PR.DS-10, GDPR|32.1.b, HIPAA|164.306(a)(1), ITSG-33|SI-16, LEVEL|1A
Policy Value:
'\b(?i)56a863a9-875e-4185-98a7-b882c64b5ce5=1\b'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</si>
  <si>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"4.10.31.1 (L1) Ensure 'Enable RPC Endpoint Mapper Client Authentication' is set to 'Enabled': [PASSED]"
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This policy setting can cause a specific issue with
1-way
forest trusts if it is applied to the
trusting
domain DCs (see Microsoft
KB3073942
), so we do not recommend applying it to Domain Controllers.
Note: This policy will not in effect until the system is rebooted.
The recommended state for this setting is: Enabled
Anonymous access to RPC services could result in accidental disclosure of information to unauthenticated users.
Solution:
To establish the recommended configuration via configuration profiles, set the following Settings Catalog path to Disa Enabled`ed.
Administrative Templates\System\Remote Procedure Call\Enable RPC Endpoint Mapper Client Authentication
Impact:
RPC clients will authenticate to the Endpoint Mapper Service for calls that contain authentication information. Clients making such calls will not be able to communicate with the Windows NT4 Server Endpoint Mapper Service.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</si>
  <si>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"4.10.29.5.2 (L1) Ensure 'Require a password when a computer wakes (plugged in)' is set to 'Enabled': [PASSED]"
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
Solution:
To establish the recommended configuration via configuration profiles, set the following Settings Catalog path to Enabled
Administrative Templates\System\Power Management\Sleep Settings\Require a password when a computer wakes (plugged in)
Impact:
None - this is the default behavior.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</si>
  <si>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"4.10.26.4 (L1) Ensure 'Enumerate local users on domain-joined computers' is set to 'Disabled': [PASSED]"
This policy setting allows local users to be enumerated on domain-joined computers.
The recommended state for this setting is: Disabled
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
Solution:
To establish the recommended configuration via configuration profiles, set the following Settings Catalog path to Disabled
Administrative Templates\System\Logon\Enumerate local users on domain-joined computers
Impact:
None - this is the default behavior.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</si>
  <si>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"81.11 (L1) Ensure 'Microsoft FTP Service (FTPSVC)' is set to 'Disabled' or 'Not Installed': [PASSED]"
Enables the server to be a File Transfer Protocol (FTP) server.
The recommended state for this setting is: Disabled or Not Installed
Note: This service is not installed by default. It is supplied with Windows, but is installed by enabling an optional Windows feature (
Internet Information Services - FTP Server
).
Hosting an FTP server (especially a non-secure FTP server) from a workstation is an increased security risk, as the attack surface of that workstation is then greatly increased.
Note: This security concern applies to
any
FTP server application installed on a workstation, not just IIS.
Solution:
To establish the recommended configuration, set the following Custom Configuration Policy to 4 or confirm that the service is Not installed :
Name:  &lt;Enter name&gt;
Description: &lt;Enter Description&gt;
OMA-URI: ./Device/Vendor/MSFT/Policy/Config/SystemServices/ConfigureMicrosoftFTPServiceStartupMode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FTPSVC -StartupType Disabled
Impact:
The computer will not function as an FTP server.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</si>
  <si>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"104.1 (L1) Ensure 'Require PIN For Pairing' is set to 'Enabled: Pairing ceremony for new devices will always require a PIN' OR 'All pairings will require PIN': [PASSED]"
This policy setting controls whether or not a PIN is required for pairing to a wireless display device.
The recommended state for this setting is: Enabled: Pairing ceremony for new devices will always require a PIN ' OR All pairings will require PIN
If this setting is not configured or disabled then a PIN would not be required when pairing wireless display devices to the system, increasing the risk of unauthorized use.
Solution:
To establish the recommended configuration via configuration profiles, set the following Settings Catalog path to Enabled: Pairing ceremony for new devices will always require a PIN ' OR All pairings will require PIN
Administrative Templates\Network\Wireless Display\Require pin pairing
Impact:
The pairing ceremony for connecting to new wireless display devices will always require a PIN.
See Also:
https://workbench.cisecurity.org/benchmarks/21719
Reference:
800-171|3.5.2, 800-171r3|03.05.12, 800-53|IA-5c., 800-53r5|IA-5c., CN-L3|7.1.2.7(d), CN-L3|8.1.4.1(a), CSF|PR.AC-1, CSF2.0|PR.AA-01, CSF2.0|PR.AA-03, GDPR|32.1.b, HIPAA|164.306(a)(1), HIPAA|164.312(a)(2)(i), HIPAA|164.312(d), ISO-27001-2022|A.5.16, ISO-27001-2022|A.5.17, ISO/IEC-27001|A.9.4.3, ITSG-33|IA-5c., LEVEL|1A, NESA|T5.2.1, NESA|T5.2.3, NESA|T5.5.2, NESA|T5.5.3, QCSC-v1|5.2.2, QCSC-v1|13.2
Policy Value:
1 || 2
Actual Value:
2</t>
  </si>
  <si>
    <t>"4.4.3 (L1) Ensure 'Configure SMB v1 server' is set to 'Disabled': [PASSED]"
This setting configures the server-side processing of the Server Message Block version 1 (SMBv1) protocol.
The recommended state for this setting is: Disabled
Since September 2016, Microsoft has strongly encouraged that SMBv1 be disabled and no longer used on modern networks, as it is a 30 year old design that is much more vulnerable to attacks then much newer designs such as SMBv2 and SMBv3.
More information on this can be found at the following links:
Stop using SMB1 | Storage at Microsoft
Disable SMB v1 in Managed Environments with Group Policy - 'Stay Safe' Cyber Security Blog
Disabling SMBv1 through Group Policy - Microsoft Security Guidance blog
Solution:
To establish the recommended configuration via configuration profiles, set the following Settings Catalog path to Disabled
Administrative Templates\MS Security Guide\Configure SMB v1 server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See Also:
https://workbench.cisecurity.org/benchmarks/21719
Reference:
800-171|3.4.2, 800-171|3.4.6, 800-171|3.4.7, 800-171r3|03.04.02, 800-171r3|03.04.06, 800-53|CM-6, 800-53|CM-7, 800-53r5|CM-6, 800-53r5|CM-7, CSCv7|9.2, CSCv7|14.3, CSCv8|4.8, CSF|PR.IP-1, CSF|PR.PT-3, CSF2.0|DE.CM-09, CSF2.0|PR.PS-01, GDPR|32.1.b, HIPAA|164.306(a)(1), ISO-27001-2022|A.8.9, ITSG-33|CM-6, ITSG-33|CM-7, LEVEL|1A, NIAv2|SS15a, PCI-DSSv3.2.1|2.2.2, SWIFT-CSCv1|2.3
Policy Value:
0
Actual Value:
0</t>
  </si>
  <si>
    <t>"38.18 (L1) Ensure 'Enable Public Network Firewall: Default Inbound Action for Public Profile' is set to 'Block': [PASSED]"
This setting determines the behavior for inbound connections that do not match an inbound firewall rule.
The recommended state for this setting is: Block
If the firewall allows all traffic to access the system then an attacker may be more easily able to remotely exploit a weakness in a network service.
Solution:
To establish the recommended configuration via configuration profiles, set the following Settings Catalog path to Block :
Firewall\Enable Public Network Firewall: Default Inbound Action for Public Profile
Impact:
None - this is the default behavior.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</si>
  <si>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"4.11.10.2 (L1) Ensure 'Enable App Installer Hash Override' is set to 'Disabled': [PASSED]"
This policy setting controls whether or not users can override the SHA256 security validation in the Windows Package Manager settings.
The recommended state for this setting is: Disabled
Users should not have the ability to override SHA256 security validation.
Solution:
To establish the recommended configuration via configuration profiles, set the following Settings Catalog path to Disabled :
Administrative Templates\Windows Components\Desktop App Installer\Enable App Installer Hash Override
Impact:
Users will not have the ability to override the SHA256 security validation.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</si>
  <si>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"22.22 (L1) Ensure 'ASR: Use advanced protection against ransomware' is set to 'Audit' or higher: [PASSED]"
This rule provides an extra layer of protection against ransomware. It uses both client and cloud heuristics to determine whether a file resembles ransomware. This rule doesn't block files that have one or more of the following characteristics:
The file has already been found to be unharmful in the Microsoft cloud.The file is a valid signed file.The file is prevalent enough to not be considered as ransomware.The rule tends to err on the side of caution to prevent ransomware.
The recommended state for this setting is: Audit Configuring this setting to Block also conforms to the benchmark.
Note: Cloud-delivered protection must be enabled to use this rule.
This ASR rule is can help an organization enhance it's protection against ransomware by using both cloud and local heuristics.
Note: Cloud-delivered protection must be enabled to use this rule.
Solution:
To establish the recommended configuration via configuration profiles, set the following Settings Catalog path to Audit or Block
Defender\Use advanced protection against ransomware
Impact:
Implementing this control could impact certain workflows, making it unsuitable for universal enforcement across the organization without first adding exceptions. Therefore, it is recommended to start in Audit mode and then move to Block mode after creating exceptions. This approach allows for a better understanding of the environment through extensive monitoring of the rule.
See Also:
https://workbench.cisecurity.org/benchmarks/21719
Reference:
800-53|SI-16, 800-53r5|SI-16, CSCv7|8.3, CSCv8|10.5, CSF2.0|PR.DS-10, GDPR|32.1.b, HIPAA|164.306(a)(1), ITSG-33|SI-16, LEVEL|1A
Policy Value:
'\b(?i)c1db55ab-c21a-4637-bb3f-a12568109d35=(1|2)\b'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</si>
  <si>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"4.11.36.4.9.3 (L1) Ensure 'Require use of specific security layer for remote (RDP) connections' is set to 'Enabled: SSL': [PASSED]"
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
Solution:
To establish the recommended configuration via configuration profiles, set the following Settings Catalog path to Enabled: SSL
Administrative Templates\Windows Components\Remote Desktop Services\Remote Desktop Session Host\Security\Require use of specific security layer for remote (RDP) connections
Impact:
TLS will be required to authenticate to the RD Session Host server. If TLS is not supported, the connection fails.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
Note #2: Some third party two-factor authentication solutions (e.g. RSA Authentication Agent) can be negatively affected by this setting, as the SSL/TLS security layer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2
Actual Value:
2</t>
  </si>
  <si>
    <t>"6.21 (L1) Ensure 'Policy Change Audit MPSSVC Rule Level Policy Change' is set to 'Success and Failure': [PASSED]"
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
Solution:
To establish the recommended configuration via configuration profiles, set the following Settings Catalog path to Success and Failure
Auditing\Policy Change Audit MPSSVC Rule Level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</si>
  <si>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"4.5.7 (L1) Ensure 'MSS: (NoNameReleaseOnDemand) Allow the computer to ignore NetBIOS name release requests except from WINS servers' is set to 'Enabled': [PASSED]"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malicious user could exploit the unauthenticated nature of the protocol to send a name-conflict datagram to a target computer, which would cause the computer to relinquish its name and not respond to queries.
An attacker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
Solution:
To establish the recommended configuration via configuration profiles, set the following Settings Catalog path to Enabled
Administrative Templates\MSS (Legacy)\MSS: (NoNameReleaseOnDemand) Allow the computer to ignore NetBIOS name release requests except from WINS servers
Impact:
None - this is the default behavior.
See Also:
https://workbench.cisecurity.org/benchmarks/21719
Reference:
800-171|3.1.16, 800-171|3.1.17, 800-171|3.4.1, 800-171|3.4.2, 800-171|3.4.6, 800-171|3.4.7, 800-171r3|03.01.16, 800-171r3|03.04.01, 800-171r3|03.04.02, 800-171r3|03.04.06, 800-53|AC-18, 800-53|AC-18(1), 800-53|AC-18(3), 800-53|CM-2, 800-53|CM-6, 800-53|CM-7, 800-53|CM-7(1), 800-53|CM-9, 800-53r5|AC-18, 800-53r5|AC-18(1), 800-53r5|AC-18(3), 800-53r5|CM-2, 800-53r5|CM-6, 800-53r5|CM-7, 800-53r5|CM-7(1), 800-53r5|CM-9, CSCv7|5.1, CSCv8|4.2, CSF|DE.AE-1, CSF|PR.DS-7, CSF|PR.IP-1, CSF|PR.PT-3, CSF|PR.PT-4, CSF2.0|DE.CM-09, CSF2.0|ID.AM-08, CSF2.0|PR.AA-05, CSF2.0|PR.PS-01, GDPR|32.1.b, HIPAA|164.306(a)(1), HIPAA|164.312(a)(1), ISO-27001-2022|A.5.2, ISO-27001-2022|A.5.14, ISO-27001-2022|A.8.9, ISO-27001-2022|A.8.20, ITSG-33|AC-18, ITSG-33|AC-18(1), ITSG-33|AC-18(3), ITSG-33|CM-2, ITSG-33|CM-6, ITSG-33|CM-7, ITSG-33|CM-7(1), ITSG-33|CM-9, LEVEL|1A, NESA|T1.2.1, NESA|T1.2.2, NESA|T3.2.5, NESA|T5.4.2, NESA|T7.5.1, NESA|T7.5.3, NESA|T7.6.1, NESA|T7.6.2, NESA|T7.6.3, NIAv2|NS33, NIAv2|NS34, NIAv2|NS38, NIAv2|SS15a, NIAv2|SS16, PCI-DSSv3.2.1|2.2.2, QCSC-v1|3.2, QCSC-v1|5.2.1, QCSC-v1|5.2.2, SWIFT-CSCv1|2.3
Policy Value:
1
Actual Value:
1</t>
  </si>
  <si>
    <t>"4.4.1 (L1) Ensure 'Apply UAC restrictions to local accounts on network logons' is set to 'Enabled': [PASSED]"
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
Disabled: Allows local accounts to have full administrative rights when authenticating via network logon, by configuring the LocalAccountTokenFilterPolicy registry value to 1
For more information about local accounts and credential theft, review the '
Mitigating Pass-the-Hash (PtH) Attacks and Other Credential Theft Techniques
' documents.
For more information about LocalAccountTokenFilterPolicy see Microsoft Knowledge Base article 951016:
Description of User Account Control and remote restrictions in Windows Vista
.
The recommended state for this setting is: Enabled
Local accounts are at high risk for credential theft when the same account and password is configured on multiple systems. Ensuring this policy is Enabled significantly reduces that risk.
Solution:
To establish the recommended configuration via configuration profiles, set the following Settings Catalog path to Enabled
Administrative Templates\MS Security Guide\Apply UAC restrictions to local accounts on network logons
Impact:
None - this is the default behavior.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0
Actual Value:
0</t>
  </si>
  <si>
    <t>"89.7 (L1) Ensure 'Create Global Objects' is set to 'Administrators, LOCAL SERVICE, NETWORK SERVICE, SERVICE': [PASSED]"
This policy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This capability could lead to a variety of problems, such as application failure or data corruption.
The recommended state for this setting is: *S-1-5-32-544 *S-1-5-19 *S-1-5-20 and *S-1-5-6 (Administrators, LOCAL SERVICE, NETWORK SERVICE, SERVICE).
Users who can create global objects could affect Windows services and processes that run under other user or system accounts. This capability could lead to a variety of problems, such as application failure, data corruption and elevation of privilege.
Solution:
To establish the recommended configuration via configuration profiles, set the following Settings Catalog path to *S-1-5-32-544 *S-1-5-19 *S-1-5-20 and *S-1-5-6 (Administrators, LOCAL SERVICE, NETWORK SERVICE, SERVICE).
User Rights\Create Global Objects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'LOCAL SERVICE' &amp;&amp; 'NETWORK SERVICE' &amp;&amp; 'SERVICE'
Actual Value:
'service' &amp;&amp; 'administrators' &amp;&amp; 'network service' &amp;&amp; 'local service'</t>
  </si>
  <si>
    <t>"6.23 (L1) Ensure 'Privilege Use Audit Sensitive Privilege Use' is set to 'Success and Failure': [PASSED]"
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Auditing\Privilege Use Audit Sensitive Privilege Use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</si>
  <si>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"22.9 (L1) Ensure 'ASR: Block all Office applications from creating child processes' is set to 'Audit' or higher: [PASSED]"
This rule blocks Office apps from creating child processes. Office apps include Word, Excel, PowerPoint, OneNote, and Access.
Creating malicious child processes is a common malware strategy. Malware that abuses Office as a vector often runs VBA macros and exploit code to download and attempt to run more payloads. However, some legitimate line-of-business applications might also generate child processes for benign purposes; such as spawning a command prompt or using PowerShell to configure registry settings.
The recommended state for this setting is: Audit Configuring this setting to Block also conforms to the benchmark.
Attack surface reduction helps prevent actions and apps that are typically used by exploit-seeking malware to infect machines.
Solution:
To establish the recommended configuration via configuration profiles, set the following Settings Catalog path to Audit or Block
Defender\Block all Office applications from creating child processes
Impact:
When a rule is triggered, a notification will be displayed from the Action Center.
See Also:
https://workbench.cisecurity.org/benchmarks/21719
Reference:
800-53|SI-16, 800-53r5|SI-16, CSCv7|8.3, CSCv8|10.5, CSF2.0|PR.DS-10, GDPR|32.1.b, HIPAA|164.306(a)(1), ITSG-33|SI-16, LEVEL|1A
Policy Value:
'\b(?i)d4f940ab-401b-4efc-aadc-ad5f3c50688a=(1|2)\b'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</si>
  <si>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"81.10 (L1) Ensure 'LxssManager (LxssManager)' is set to 'Disabled' or 'Not Installed': [PASSED]"
The LXSS Manager service supports running native ELF binaries. The service provides the infrastructure necessary for ELF binaries to run on Windows.
The recommended state for this setting is: Disabled or Not Installed
Note: This service is not installed by default. It is supplied with Windows, but is installed by enabling an optional Windows feature (
Windows Subsystem for Linux
).
The Linux Subsystem (LXSS) Manager allows full system access to Linux applications on Windows, including the file system. While this can certainly have some functionality and performance benefits for running those applications, it also creates new security risks in the event that a hacker injects malicious code into a Linux application. For best security, it is preferred to run Linux applications on Linux, and Windows applications on Windows.
Solution:
To establish the recommended configuration, set the following Custom Configuration Policy to 4 or confirm that the service is Not installed :
Name:  &lt;Enter name&gt;
Description: &lt;Enter Description&gt;
OMA-URI: ./Device/Vendor/MSFT/Policy/Config/SystemServices/ConfigureLxssManagerServiceStartupMode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LxssManager -StartupType Disabled
Impact:
The Linux Subsystem will not be available, and native ELF binaries will no longer run.
Note: If your organization has made an exception to this recommendation and is using Windows Subsystem for Linux (WSL), the Internet Connection Sharing (ICS) (SharedAccess) service will need to be Enabled for WSL to function. For more information, please visit the following Microsoft Blog:
Troubleshooting Windows Subsystem for Linux | Microsoft Docs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</si>
  <si>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"22.16 (L1) Ensure 'ASR: Block Office applications from injecting code into other processes' is set to 'Block': [PASSED]"
Attackers might attempt to use Office apps to migrate malicious code into other processes through code injection, so the code can masquerade as a clean process. There are no known legitimate business purposes for using code injection.
This rule applies to Word, Excel, OneNote, and PowerPoint.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Office applications from injecting code into other processes
Impact:
When a rule is triggered, a notification will be displayed from the Action Center.
Note: While Microsoft states that 'there are no known legitimate business purposes for using code injection', this ASR will trigger on legitimate processes so it is recommended to start in Audit mode before creating a list of exceptions and moving finally to Block
See Also:
https://workbench.cisecurity.org/benchmarks/21719
Reference:
800-53|SI-16, 800-53r5|SI-16, CSCv7|8.3, CSCv8|10.5, CSF2.0|PR.DS-10, GDPR|32.1.b, HIPAA|164.306(a)(1), ITSG-33|SI-16, LEVEL|1A
Policy Value:
'\b(?i)75668c1f-73b5-4cf0-bb93-3ecf5cb7cc84=1\b'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</si>
  <si>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"49.21 (L1) Ensure 'Network security: Allow Local System to use computer identity for NTLM' is set to 'Allow': [PASSED]"
This policy setting determines whether Local System services that use Negotiate when reverting to NTLM authentication can use the computer identity. This policy is supported on at least Windows 7 or Windows Server 2008 R2.
The recommended state for this setting is: Allow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
Solution:
To establish the recommended configuration via configuration profiles, set the following Settings Catalog path to Allow :
Local Policies 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
See Also:
https://workbench.cisecurity.org/benchmarks/21719
Reference:
800-171r3|03.05.02, 800-53|IA-3, 800-53r5|IA-3, CSF|PR.AC-1, CSF2.0|PR.AA-01, CSF2.0|PR.AA-03, GDPR|32.1.b, HIPAA|164.306(a)(1), HIPAA|164.312(a)(2)(i), HIPAA|164.312(d), ITSG-33|IA-3, ITSG-33|IA-3a., LEVEL|1A, NESA|T5.4.3, QCSC-v1|13.2, TBA-FIISB|27.1
Policy Value:
1
Actual Value:
1</t>
  </si>
  <si>
    <t>"22.28 (L1) Ensure 'Oobe Enable Rtp And Sig Update' is set to 'Enabled': [PASSED]"
This policy setting configures whether Real-time Protection and Security Intelligence Updates are enabled during the Out of Box experience (OOBE).
The recommended state for this setting is: If you enable this setting, real-time protection and Security Intelligence Updates are enabled during OOBE.
Note: As of the publication of this Benchmark, the setting configuration state in Intune is the sentence above after
The recommended state for this setting is:
and not
Enabled
as the title states. This was done to keep title length to a minimum.
Critical Windows zero-day patch updates should be applied during OOBE to help mitigate against malicious attacks.
Solution:
To establish the recommended configuration via configuration profiles, set the following Settings Catalog path to If you enable this setting, real-time protection and Security Intelligence Updates are enabled during OOBE.
Defender\Oobe Enable Rtp And Sig Update
Impact:
None - this is the default behavior.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</si>
  <si>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"4.11.6.1 (L1) Ensure 'Disallow Autoplay for non-volume devices' is set to 'Enabled': [PASSED]"
This policy setting disallows AutoPlay for MTP devices like cameras or phones.
The recommended state for this setting is: Enabled
An attacker could use this feature to launch a program to damage a client computer or data on the computer.
Solution:
To establish the recommended configuration via configuration profiles, set the following Settings Catalog path to Enabled
Administrative Templates\Windows Components\AutoPlay Policies\Disallow Autoplay for non-volume devices
Impact:
AutoPlay will not be allowed for MTP devices like cameras or phones.
See Also:
https://workbench.cisecurity.org/benchmarks/21719
Reference:
800-171|3.8.7, 800-171r3|03.08.07, 800-53|MP-7, 800-53r5|MP-7, CN-L3|8.5.4.1(c), CSCv7|8.5, CSCv8|10.3, CSF|PR.PT-2, GDPR|32.1.b, HIPAA|164.306(a)(1), HIPAA|164.312(a)(1), ISO-27001-2022|A.5.10, ISO-27001-2022|A.7.10, ISO/IEC-27001|A.8.3.1, ISO/IEC-27001|A.8.3.3, LEVEL|1A, NESA|T1.4.1
Policy Value:
1
Actual Value:
1</t>
  </si>
  <si>
    <t>"49.28 (L1) Ensure 'User Account Control: Behavior of the elevation prompt for administrators' is set to 'Prompt for consent on the secure desktop' or higher: [PASSED]"
This policy setting controls the behavior of the elevation prompt for administrators.
The recommended state for this setting is: Prompt for consent on the secure desktop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
Solution:
To establish the recommended configuration via configuration profiles, set the following Settings Catalog path to Prompt for consent on the secure desktop or Prompt for credentials on the secure desktop :
Local Policies Security Options\User Account Control: Behavior of the elevation prompt for administrators
Impact:
When an operation (including execution of a Windows binary) requires elevation of privilege, the user is prompted on the secure desktop to select either Permit or Deny. If the user selects Permit, the operation continues with the user's highest available privilege.
Warning: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See Also:
https://workbench.cisecurity.org/benchmarks/21719
Reference:
800-171|3.1.5, 800-171r3|03.01.05b., 800-53|AC-6(1), 800-53r5|AC-6(1), CN-L3|7.1.3.2(b), CN-L3|7.1.3.2(g), CN-L3|8.1.4.2(d), CN-L3|8.1.10.6(a), CSF|PR.AC-4, CSF2.0|PR.AA-05, GDPR|32.1.b, HIPAA|164.306(a)(1), HIPAA|164.312(a)(1), ISO-27001-2022|A.5.15, ISO-27001-2022|A.8.2, ISO-27001-2022|A.8.18, ISO/IEC-27001|A.9.4.4, ITSG-33|AC-6(1), LEVEL|1A, NESA|T5.1.1, NESA|T5.4.4, NESA|T5.5.4, NESA|T5.6.1, NESA|T7.5.3, NIAv2|AM31, NIAv2|GS3, NIAv2|GS4, NIAv2|GS8c, NIAv2|VL3b, PCI-DSSv3.2.1|7.1.2, PCI-DSSv4.0|7.2.1, PCI-DSSv4.0|7.2.2, QCSC-v1|5.2.2, QCSC-v1|6.2, SWIFT-CSCv1|5.1, TBA-FIISB|31.4.2, TBA-FIISB|31.4.3
Policy Value:
1 || 2
Actual Value:
2</t>
  </si>
  <si>
    <t>"4.7.7 (L1) Ensure 'Configure RPC over TCP port: RPC over TCP port:' is set to 'Enabled: 0': [PASSED]"
This policy setting controls which port is used for RPC over TCP for incoming connections to the print spooler and outgoing connections to remote print spoolers.
The recommended state for this setting is: Enabled: 0
Using dynamic ports for printing makes it more difficult for an attacker to know which port is being used and therefore which port to attack.
Solution:
To establish the recommended configuration via configuration profiles, set the following Settings Catalog path to Enabled: 0 :
Administrative Templates\Printers\Configure RPC over TCP port: RPC over TCP port
Impact:
If the current print environment is configured for a specific TCP port, this setting may require a firewall change (if applicable) for continued printing.
See Also:
https://workbench.cisecurity.org/benchmarks/21719
Reference:
800-171|3.4.2, 800-171r3|03.04.02a., 800-53|CM-6b., 800-53r5|CM-6b., CN-L3|8.1.10.6(d), CSF|PR.IP-1, CSF2.0|DE.CM-09, CSF2.0|PR.PS-01, GDPR|32.1.b, HIPAA|164.306(a)(1), ISO-27001-2022|A.8.9, ITSG-33|CM-6b., LEVEL|1A, NESA|T3.2.1, SWIFT-CSCv1|2.3
Policy Value:
0
Actual Value:
0</t>
  </si>
  <si>
    <t>"4.10.26.1 (L1) Ensure 'Block user from showing account details on sign-in' is set to 'Enabled': [PASSED]"
This policy prevents the user from showing account details (email address or user name) on the sign-in screen.
The recommended state for this setting is: Enabled
An attacker with access to the console (for example, someone with physical access or someone who is able to connect to the workstation through Remote Desktop Services) could view the name of the last user who logged on to the server. The attacker could then try to guess the password, use a dictionary, or use a brute-force attack to try and log on.
Solution:
To establish the recommended configuration via configuration profiles, set the following Settings Catalog path to Enabled
Administrative Templates\System\Logon\Block user from showing account details on sign-in
Impact:
Users cannot choose to show account details on the sign-in screen.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1
Actual Value:
1</t>
  </si>
  <si>
    <t>"81.38 (L1) Ensure 'World Wide Web Publishing Service (W3SVC)' is set to 'Disabled' or 'Not Installed': [PASSED]"
Provides Web connectivity and administration through the Internet Information Services Manager.
The recommended state for this setting is: Disabled or Not Installed
Note: This service is not installed by default. It is supplied with Windows, but is installed by enabling an optional Windows feature (
Internet Information Services - World Wide Web Services
).
Note #2: An organization may choose to selectively grant exceptions to web developers to allow IIS (or another web server) on their workstation, in order for them to locally test &amp;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
Solution:
To establish the recommended configuration, set the following Custom Configuration Policy to 4 or confirm that the service is Not installed :
Name:  &lt;Enter name&gt;
Description: &lt;Enter Description&gt;
OMA-URI: ./Device/Vendor/MSFT/Policy/Config/SystemServices/ConfigureWorldWideWebPublishingServiceStartupMode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W3SVC -StartupType Disabled
Impact:
IIS Web Services will not function.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</si>
  <si>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"6.9 (L1) Ensure 'Audit Changes to Audit Policy' is set to include 'Success': [PASSED]"
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Changes to Audit Policy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 failure'</t>
  </si>
  <si>
    <t>"49.15 (L1) Ensure 'Microsoft network server: Digitally sign communications (always)' is set to 'Enabled': [PASSED]"
This policy setting determines whether packet signing is required by the SMB server component. Enable this policy setting in a mixed environment to prevent downstream clients from using the workstation as a network server.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server: Digitally sign communications (always)
Impact:
The Microsoft network server will not communicate with a Microsoft network client unless that client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</si>
  <si>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"38.20 (L1) Ensure 'Enable Public Network Firewall: Enable Log Dropped Packets' is set to 'Yes: Enable Logging Of Dropped Packets': [PASSED]"
Use this option to log when Windows Firewall with Advanced Security discards an inbound packet for any reason. The log records why and when the packet was dropped. Look for entries with the word DROP in the action column of the log.
The recommended state for this setting is: Enable Logging Of Dropped Packets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Dropped Packets :
Firewall\Enable Public Network Firewall: Enable Log Dropped Packets
Impact:
Information about dropped packets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</si>
  <si>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"89.4 (L1) Ensure 'Allow Local Log On' is set to 'Administrators, Users': [PASSED]"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is: *S-1-5-32-544 *S-1-5-32-545 (Administrators, Users).
Note: The Guest account is also assigned this user right by default. Although this account is disabled by default, it's recommended that you configure this setting through Group Policy. However, this user right should generally be restricted to the Administrators and Users groups. Assign this user right to the Backup Operators group if your organization requires that they have this capability.
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
Solution:
To establish the recommended configuration via configuration profiles, set the following Settings Catalog path to *S-1-5-32-544 *S-1-5-32-545 (Administrators, Users).
User Rights\Allow Local Log On
Note: Include only one User or Group per line in the Settings Catalog configuration screen.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'Users'
Actual Value:
'users' &amp;&amp; 'administrators'</t>
  </si>
  <si>
    <t>"76.1.2 (L1) Ensure 'Notify Password Reuse' is set to 'Enabled': [PASSED]"
This policy setting determines whether Enhanced Phishing Protection in Microsoft Defender SmartScreen warns users if they reuse their work or school password.
The recommended state for this setting is: Enabled
Note: This setting only applies to Microsoft Accounts (computer or browser login) while using Microsoft Windows 11 and not on prem domain-joined accounts.
Users will be alerted if they try to use a password that has been exposed in a known data breach. This can help reduce the risk of password-related security incidents, such as unauthorized access to online accounts, and can encourage users to choose strong and unique passwords.
Solution:
To establish the recommended configuration via configuration profiles, set the following Settings Catalog path to Enabled :
Smart Screen\Enhanced Phishing Protection\Notify Password Reuse
Impact:
Password reuse may be detected as a false positive by Microsoft.
See Also:
https://workbench.cisecurity.org/benchmarks/21719
Reference:
800-53|SI-16, 800-53r5|SI-16, CSCv7|8.3, CSCv8|10.5, CSF2.0|PR.DS-10, GDPR|32.1.b, HIPAA|164.306(a)(1), ITSG-33|SI-16, LEVEL|1A
Policy Value:
1
Actual Value:
1</t>
  </si>
  <si>
    <t>"97.3 (L1) Ensure 'Minimum PIN Length' is set to '6 more character(s)': [PASSED]"
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
The recommended state for this setting is: 6 more character(s)
Windows Hello for Business utilizes key-based or certificate-based authentication and makes credential theft extremely difficult.
When backed with a TPM chip multiple physical security mechanisms are added in order to make it tamper resistant.
Solution:
To establish the recommended configuration via configuration profiles, set the following Settings Catalog path to 6 (or more character(s)):
Windows Hello For Business\Minimum PIN Length
Impact:
PIN theft is possible through shoulder surfing or other means of reconnaissance. Although this threat applies to passwords as well it is reduced with passphrases which involve complexity and length.
See Also:
https://workbench.cisecurity.org/benchmarks/21719
Reference:
800-171|3.5.2, 800-171r3|03.05.07, 800-53|IA-5(1), 800-53r5|IA-5(1), CSCv7|4.4, CSCv7|16.2, CSCv8|5.2, CSF|PR.AC-1, CSF2.0|PR.AA-01, CSF2.0|PR.AA-03, GDPR|32.1.b, HIPAA|164.306(a)(1), HIPAA|164.312(a)(2)(i), HIPAA|164.312(d), ISO-27001-2022|A.5.16, ISO-27001-2022|A.5.17, ITSG-33|IA-5(1), LEVEL|1A, NESA|T5.2.3, QCSC-v1|5.2.2, QCSC-v1|13.2, SWIFT-CSCv1|4.1
Policy Value:
'^([6-9]|[1-9][0-9])$'
Actual Value:
'6'</t>
  </si>
  <si>
    <t>"4.11.15.2.2 (L1) Ensure 'Specify the maximum log file size (KB)' is set to 'Enabled: 196,608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196,608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196,608 or greater
Administrative Templates\Windows Components\Event Log Service\Security\Specify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[196608..4294967295]
Actual Value:
2097152</t>
  </si>
  <si>
    <t>"105.5 (L1) Ensure 'Post-authentication actions' is set to 'Reset the password and logoff the managed account' or higher: [PASSED]"
This policy settings configures post-authentication actions which will be executed after detecting an authentication by the LAPS managed account. The Action refers to actions to take upon expiry of the grace period before executing the specified post-authentication actions.
Post-authentication actions:
 - Reset password : upon expiry of the grace period, the managed account password will be reset.
 - Reset the password and logoff the managed account : upon expiry of the grace period, the managed account password will be reset and any interactive logon sessions using the managed account will terminated.
 - Reset the password and reboot the device : upon expiry of the grace period, the managed account password will be reset and the managed device will be immediately rebooted.
Warning: After an interactive logon session is terminated, other authenticated sessions using the Windows LAPS managed account may still be active. The only way to ensure that the previous password is no longer in use is to reboot the OS.
The recommended state for this setting is: Reset the password and logoff the managed account or higher.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Post Authentication Actions to Reset the password and logoff the managed account (or higher).
Note: Both Reset the password and logoff the managed account and Reset the password and reboot are considered passing states.
Impact:
After the grace period expires, the Windows LAPS managed account password will be reset and logged off the system or the OS will be restarted.
See Also:
https://workbench.cisecurity.org/benchmarks/21719
Reference:
800-171|3.5.2, 800-171r3|03.05.07, 800-53|IA-5(1), 800-53r5|IA-5(1), CSF|PR.AC-1, CSF2.0|PR.AA-01, CSF2.0|PR.AA-03, GDPR|32.1.b, HIPAA|164.306(a)(1), HIPAA|164.312(a)(2)(i), HIPAA|164.312(d), ISO-27001-2022|A.5.16, ISO-27001-2022|A.5.17, ITSG-33|IA-5(1), LEVEL|1A, NESA|T5.2.3, QCSC-v1|5.2.2, QCSC-v1|13.2, SWIFT-CSCv1|4.1
Policy Value:
3 || 5
Actual Value:
3</t>
  </si>
  <si>
    <t>"6.12 (L1) Ensure 'Audit Security Group Management' is set to include 'Success': [PASSED]"
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Security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</si>
  <si>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"89.31 (L1) Ensure 'Remote Shutdown' is set to 'Administrators': [PASSED]"
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
The recommended state for this setting is: *S-1-5-32-544 (Administrators).
Any user who can shut down a computer could cause a DoS condition to occur. Therefore, this user right should be tightly restricted.
Solution:
To establish the recommended configuration via configuration profiles, set the following Settings Catalog path to *S-1-5-32-544 (Administrators).
User Rights\Remote Shutdown
Note: Include only one User or Group per line in the Settings Catalog configuration screen.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</si>
  <si>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"55.1 (L1) Ensure 'Allow apps from the Microsoft app store to auto update' is set to 'Allowed': [PASSED]"
This setting enables or disables the automatic download and installation of Microsoft Store app updates.
The recommended state for this setting is: Allowed
Keeping your system properly patched can help protect against 0 day vulnerabilities.
Solution:
To establish the recommended configuration via configuration profiles, set the following Settings Catalog path to Allowed :
Microsoft App Store\Allow apps from the Microsoft app store to auto update
Impact:
None - this is the default behavior.
See Also:
https://workbench.cisecurity.org/benchmarks/21719
Reference:
800-171|3.11.2, 800-171|3.11.3, 800-171|3.14.1, 800-171r3|03.11.02, 800-171r3|03.14.01, 800-53|RA-5, 800-53|SI-2, 800-53|SI-2(2), 800-53r5|RA-5, 800-53r5|RA-7, 800-53r5|SI-2, 800-53r5|SI-2(2), CN-L3|8.1.4.4(e), CN-L3|8.1.10.5(a), CN-L3|8.1.10.5(b), CN-L3|8.5.4.1(b), CN-L3|8.5.4.1(d), CN-L3|8.5.4.1(e), CSCv7|9.2,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1
Actual Value:
1</t>
  </si>
  <si>
    <t>"38.16 (L1) Ensure 'Enable Public Network Firewall: Allow Local Ipsec Policy Merge' is set to 'False': [PASSED]"
This setting controls whether local administrators are allowed to create connection security rules that apply together with connection security rules configured by Group Policy.
The recommended state for this setting is: False
Users with administrative privileges might create firewall rules that expose the system to remote attack.
Solution:
To establish the recommended configuration via configuration profiles, set the following Settings Catalog path to False :
Firewall\Enable Public Network Firewall: Allow Local Ipsec Policy Merge
Impact:
Administrators can still create local connection security rules, but the rules will not be applied.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0
Actual Value:
0</t>
  </si>
  <si>
    <t>"4.11.15.1.1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Service\Application\Control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</si>
  <si>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"1.1 (L1) Ensure 'Allow Cortana Above Lock' is set to 'Block': [PASSED]"
This policy setting determines whether or not the user can interact with Cortana using speech while the system is locked.
The recommended state for this setting is: Block
Access to any computer resource should not be allowed when the device is locked.
Solution:
To establish the recommended configuration via configuration profiles, set the following Settings Catalog path to Block
Above Lock\Allow Cortana Above Lock
Impact:
The system will need to be unlocked for the user to interact with Cortana using speech.
See Also:
https://workbench.cisecurity.org/benchmarks/21719
Reference:
800-171|3.4.2, 800-171|3.4.6, 800-171|3.4.7, 800-171r3|03.04.02, 800-171r3|03.04.06, 800-53|CM-6, 800-53|CM-7, 800-53r5|CM-6, 800-53r5|CM-7, CSCv7|16.11, CSCv8|4.8, CSF|PR.IP-1, CSF|PR.PT-3, CSF2.0|DE.CM-09, CSF2.0|PR.PS-01, GDPR|32.1.b, HIPAA|164.306(a)(1), ISO-27001-2022|A.8.9, ITSG-33|CM-6, ITSG-33|CM-7, LEVEL|1A, NIAv2|SS15a, PCI-DSSv3.2.1|2.2.2, SWIFT-CSCv1|2.3
Policy Value:
0
Actual Value:
0</t>
  </si>
  <si>
    <t>"22.18 (L1) Ensure 'ASR: Block persistence through WMI event subscription' is set to 'Block': [PASSED]"
This rule prevents malware from abusing WMI to attain persistence on a device.
Note: If CcmExec.exe (SCCM Agent) is detected on the device, the ASR rule is classified as 'not applicable' in Defender for Endpoint settings in the Microsoft Defender portal.
The recommended state for this setting is: Block
Fileless threats employ various tactics to stay hidden, to avoid being seen in the file system, and to gain periodic execution control. Some threats can abuse the WMI repository and event model to stay hidden.
Solution:
To establish the recommended configuration via configuration profiles, set the following Settings Catalog path to Block
Defender\Block persistence through WMI event subscription
Impact:
When a rule is triggered, a notification will be displayed from the Action Center.
See Also:
https://workbench.cisecurity.org/benchmarks/21719
Reference:
800-53|SI-16, 800-53r5|SI-16, CSCv7|8.3, CSCv8|10.5, CSF2.0|PR.DS-10, GDPR|32.1.b, HIPAA|164.306(a)(1), ITSG-33|SI-16, LEVEL|1A
Policy Value:
'\b(?i)e6db77e5-3df2-4cf1-b95a-636979351e5b=1\b'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</si>
  <si>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"81.33 (L1) Ensure 'Windows Mobile Hotspot Service (icssvc)' is set to 'Disabled': [PASSED]"
Provides the ability to share a cellular data connection with another device.
The recommended state for this setting is: Disabled
The capability to run a mobile hotspot from a domain-connected computer could easily expose the internal network to wardrivers or other hackers.
Solution:
To establish the recommended configuration, set the following Custom Configuration Policy to 4 or confirm that the service is Not installed :
Name:  &lt;Enter name&gt;
Description: &lt;Enter Description&gt;
OMA-URI: ./Device/Vendor/MSFT/Policy/Config/SystemServices/ConfigureWindowsMobileHotspotServiceStartupMode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icssvc -StartupType Disabled
Impact:
The Windows Mobile Hotspot feature will not be available.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</si>
  <si>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"6.19 (L1) Ensure 'Object Access Audit Other Object Access Events' is set to 'Success and Failure': [PASSED]"
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
Solution:
To establish the recommended configuration via configuration profiles, set the following Settings Catalog path to Success and Failure
Auditing\Object Access Audit Other Object Access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</si>
  <si>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"49.22 (L1) Ensure 'Network Security: Allow PKU2U authentication requests' is set to 'Block': [PASSED]"
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Block
The PKU2U protocol is a peer-to-peer authentication protocol - authentication should be managed centrally in most managed networks.
Solution:
To establish the recommended configuration via configuration profiles, set the following Settings Catalog path to Block :
Local Policies Security Options\Network Security: Allow PKU2U authentication requests to this computer
Impact:
Remote Desktop connections from a Microsoft Entra hybrid joined server to a Microsoft Entra joined Windows 10 device or a Microsoft Entra hybrid joined Windows 10 device will fail if PKU2U is disabled.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CSCv7|9.2,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0
Actual Value:
0</t>
  </si>
  <si>
    <t>"4.7.6 (L1) Ensure 'Configure RPC listener settings: Protocols to allow for incoming RPC connections' is set to 'Enabled: RPC over TCP': [PASSED]"
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
Solution:
To establish the recommended configuration via configuration profiles, set the following Settings Catalog path to Enabled: RCP over TCP :
Administrative Templates\Printers\Configure RPC listener settings: Configure protocol options for incoming RPC connections
Impact:
Warning: Many existing print configurations may be using the older named pipes protocol and therefore will cease to function.
See Also:
https://workbench.cisecurity.org/benchmarks/21719
Reference:
800-171|3.4.2, 800-171r3|03.04.02a., 800-53|CM-6b., 800-53r5|CM-6b., CN-L3|8.1.10.6(d), CSF|PR.IP-1, CSF2.0|DE.CM-09, CSF2.0|PR.PS-01, GDPR|32.1.b, HIPAA|164.306(a)(1), ISO-27001-2022|A.8.9, ITSG-33|CM-6b., LEVEL|1A, NESA|T3.2.1, SWIFT-CSCv1|2.3
Policy Value:
5
Actual Value:
5</t>
  </si>
  <si>
    <t>"89.18 (L1) Ensure 'Enable Delegation' is set to 'No One': [PASSED]"
This policy setting allows users to change the Trusted for Delegation setting on a computer object in Active Directory. Abuse of this privilege could allow unauthorized users to impersonate other users on the network.
The recommended state for this setting is: No One
Note: This user right is considered a 'sensitive privilege' for the purposes of auditing.
Misuse of the Enable computer and user accounts to be trusted for delegation user right could allow unauthorized users to impersonate other users on the network. An attacker could exploit this privilege to gain access to network resources and make it difficult to determine what has happened after a security incident.
Solution:
To establish the recommended configuration via configuration profiles, set the following Settings Catalog path to (&lt;![CDATA[]]&gt;) which equals No One
User Rights\Enable Delegation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</si>
  <si>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"4.4.4 (L1) Ensure 'Enable Structured Exception Handling Overwrite Protection (SEHOP)' is set to 'Enabled': [PASSED]"
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
Solution:
To establish the recommended configuration via configuration profiles, set the following Settings Catalog path to Enabled
Administrative Templates\MS Security Guide\Enable Structured Exception Handling Overwrite Protection (SEHOP)
More information is available at
MSKB 956607: How to enable Structured Exception Handling Overwrite Protection (SEHOP) in Windows operating systems
Impact:
After you enable SEHOP, existing versions of Cygwin, Skype, and Armadillo-protected applications may not work correctly.
See Also:
https://workbench.cisecurity.org/benchmarks/21719
Reference:
800-53|SI-16, 800-53r5|SI-16, CSCv7|8.3, CSCv8|10.5, CSF2.0|PR.DS-10, GDPR|32.1.b, HIPAA|164.306(a)(1), ITSG-33|SI-16, LEVEL|1A
Policy Value:
0
Actual Value:
0</t>
  </si>
  <si>
    <t>"38.23 (L1) Ensure 'Enable Public Network Firewall: Log Max File Size' is set to '16,384 KB or greater': [PASSED]"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16,384 KB or greater :
Firewall\Enable Public Network Firewall: Log Max File Size (KB)
Impact:
The log file size will be limited to the specified size, old events will be overwritten by newer ones when the limit is reached.
See Also:
https://workbench.cisecurity.org/benchmarks/21719
Reference:
800-53|AU-4, 800-53r5|AU-4, CSCv7|6.4, CSCv7|9.4, CSCv8|8.3, CSF|PR.DS-4, CSF|PR.PT-1, GDPR|32.1.b, HIPAA|164.306(a)(1), HIPAA|164.312(b), ISO-27001-2022|A.8.6, ITSG-33|AU-4, LEVEL|1A, NESA|T3.3.1, NESA|T3.6.2, QCSC-v1|8.2.1, QCSC-v1|13.2
Policy Value:
[16384..4294967295]
Actual Value:
32767</t>
  </si>
  <si>
    <t>"4.11.28.3.1 (L1) Ensure 'Configure local setting override for reporting to Microsoft MAPS' is set to 'Disabled': [PASSED]"
This policy setting configures a local override for the configuration to join Microsoft Active Protection Service (MAPS), which Microsoft renamed to
Windows Defender Antivirus Cloud Protection Service
and then
Microsoft Defender Antivirus Cloud Protection Service
.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
Solution:
To establish the recommended configuration via configuration profiles, set the following Settings Catalog path to Disabled
Administrative Templates\Windows Components\Microsoft Defender Antivirus\MAPS\Configure local setting override for reporting to Microsoft MAPS
Impact:
None - this is the default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</si>
  <si>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"4.11.8.3 (L1) Ensure 'Prevent the use of security questions for local accounts' is set to 'Enabled': [PASSED]"
This policy setting controls whether security questions can be used to reset local account passwords. The security question feature does not apply to domain accounts, only local accounts on the workstation.
The recommended state for this setting is: Enabled
Users could establish security questions that are easily guessed or sleuthed by observing the user's social media accounts, making it easier for a malicious actor to change the local user account password and gain access to the computer as that user account.
Solution:
To establish the recommended configuration via configuration profiles, set the following Settings Catalog path to Enabled
Administrative Templates\Windows Components\Credential User Interface\Prevent the use of security questions for local accounts
Impact:
Local user accounts will not be able to set up and use security questions to reset their passwords.
See Also:
https://workbench.cisecurity.org/benchmarks/21719
Reference:
800-171|3.4.2, 800-171r3|03.04.02a., 800-53|CM-6b., 800-53r5|CM-6b., CN-L3|8.1.10.6(d), CSF|PR.IP-1, CSF2.0|DE.CM-09, CSF2.0|PR.PS-01, GDPR|32.1.b, HIPAA|164.306(a)(1), ISO-27001-2022|A.8.9, ITSG-33|CM-6b., LEVEL|1A, NESA|T3.2.1, SWIFT-CSCv1|2.3
Policy Value:
1
Actual Value:
1</t>
  </si>
  <si>
    <t>"4.11.15.2.1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Service\Security\Control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</si>
  <si>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"6.7 (L1) Ensure 'Audit Authentication Policy Change' is set to include 'Success': [PASSED]"
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Authentication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</si>
  <si>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"22.32 (L1) Ensure 'Remote Encryption Protection Configured State' is set to 'Audit: Generate EDR detections without blocking' or higher: [PASSED]"
This policy setting configures the Brute-Force Protection feature in Microsoft Defender Antivirus. Brute-Force Protection can detect and block attempts to forcibly initiate sign-ins and sessions.
The recommended state for this setting is: Audit: Generate EDR detections without blocking Configuring this setting to Block: Prevent suspicious and malicious behaviors also conforms to the benchmark.
Note: Configuring the value to either Default or Off does not conform to this benchmark.
This feature assists with mitigating brute force attempts by detecting and blocking unauthorized sign-ins and sessions.
Solution:
To establish the recommended configuration via configuration profiles, set the following Settings Catalog path to Audit: Generate EDR detections without blocking or Block: Prevent suspicious and malicious behaviors
Defender\Remote Encryption Protection Configured State
Impact:
Legitimate sign-ins and sessions could be detected or blocked by this feature if too many failed attempts are detected.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 2
Actual Value:
1</t>
  </si>
  <si>
    <t>"4.10.29.5.1 (L1) Ensure 'Require a password when a computer wakes (on battery)' is set to 'Enabled': [PASSED]"
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
Solution:
To establish the recommended configuration via configuration profiles, set the following Settings Catalog path to Enabled
Administrative Templates\System\Power Management\Sleep Settings\Require a password when a computer wakes (on battery)
Impact:
None - this is the default behavior.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</si>
  <si>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"4.11.27.1 (L1) Ensure 'Block all consumer Microsoft account user authentication' is set to 'Enabled': [PASSED]"
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
Solution:
To establish the recommended configuration via configuration profiles, set the following Settings Catalog path to Enabled
Administrative Templates\Windows Components\Microsoft accounts\Block all consumer Microsoft account user authentication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
See Also:
https://workbench.cisecurity.org/benchmarks/21719
Reference:
800-171|3.1.1, 800-171r3|03.01.01, 800-53|AC-2(1), 800-53r5|AC-2(1), CN-L3|7.1.3.2(d), CSCv7|16.8, CSCv8|5.6, CSF|PR.AC-1, CSF|PR.AC-4, CSF2.0|DE.CM-01, CSF2.0|DE.CM-03, CSF2.0|PR.AA-01, CSF2.0|PR.AA-05, CSF2.0|PR.DS-10, GDPR|32.1.b, HIPAA|164.306(a)(1), HIPAA|164.312(a)(1), ISO-27001-2022|A.5.16, ISO-27001-2022|A.5.18, ISO-27001-2022|A.8.2, ISO/IEC-27001|A.9.2.1, ITSG-33|AC-2(1), LEVEL|1A, NIAv2|AM28, NIAv2|NS5j, NIAv2|SS14e, QCSC-v1|5.2.2, QCSC-v1|8.2.1, QCSC-v1|13.2, QCSC-v1|15.2
Policy Value:
1
Actual Value:
1</t>
  </si>
  <si>
    <t>"6.25 (L1) Ensure 'System Audit Other System Events' is set to 'Success and Failure': [PASSED]"
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
Solution:
To establish the recommended configuration via configuration profiles, set the following Settings Catalog path to Success and Failure
Auditing\System Audit Other System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</si>
  <si>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"49.17 (L1) Ensure 'Network access: Do not allow anonymous enumeration of SAM accounts' is set to 'Enabled': [PASSED]"
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
Note: This policy has no effect on Domain Controllers.
An unauthorized user could anonymously list account names and use the information to attempt to guess passwords or perform social engineering attacks. (Social engineering attacks try to deceive users in some way to obtain passwords or some form of security information.)
Solution:
To establish the recommended configuration via configuration profiles, set the following Settings Catalog path to Enabled :
Local Policies Security Options\Network access: Do not allow anonymous enumeration of SAM accounts
Impact:
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</si>
  <si>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"49.18 (L1) Ensure 'Network access: Do not allow anonymous enumeration of SAM accounts and shares' is set to 'Enabled': [PASSED]"
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
Note: This policy has no effect on Domain Controllers.
An unauthorized user could anonymously list account names and shared resources and use the information to attempt to guess passwords or perform social engineering attacks. (Social engineering attacks try to deceive users in some way to obtain passwords or some form of security information.)
Solution:
To establish the recommended configuration via configuration profiles, set the following Settings Catalog path to Enabled :
Local Policies Security Options\Network access: Do not allow anonymous enumeration of SAM accounts and shares
Impact:
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</si>
  <si>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"4.10.44.1.2 (L1) Ensure 'Enable Windows NTP Server' is set to 'Disabled': [PASSED]"
This policy setting specifies whether the Windows NTP Server is enabled. Disabling this setting prevents the system from acting as a NTP Server (time source) to service NTP requests from other systems (NTP Clients).
The recommended state for this setting is: Disabled
The configuration of proper time synchronization is critically important in an enterprise managed environment both due to the sensitivity of Kerberos authentication timestamps and also to ensure accurate security logging. This should be done through a known NTP server. Member servers and workstations should not typically be time sources for other clients.
Solution:
To establish the recommended configuration via configuration profiles, set the following Settings Catalog path to Disabled
Administrative Templates\System\Windows Time Service\Time Providers\Enable Windows NTP Server
Impact:
None - this is the default behavior.
See Also:
https://workbench.cisecurity.org/benchmarks/21719
Reference:
800-171|3.3.6, 800-171|3.3.7, 800-171r3|03.03.06a., 800-171r3|03.03.07, 800-53|AU-7, 800-53|AU-8, 800-53r5|AU-7, 800-53r5|AU-8, CN-L3|7.1.2.3(c), CN-L3|8.1.4.3(b), CSCv7|6.1, CSCv8|8.4, CSF|PR.PT-1, CSF|RS.AN-3, CSF2.0|PR.PS-04, CSF2.0|RS.AN-03, CSF2.0|RS.AN-06, CSF2.0|RS.AN-07, GDPR|32.1.b, HIPAA|164.306(a)(1), HIPAA|164.312(b), ISO-27001-2022|A.8.17, ITSG-33|AU-7, ITSG-33|AU-8, LEVEL|1A, NESA|T3.6.2, QCSC-v1|8.2.1, QCSC-v1|10.2.1, QCSC-v1|11.2, QCSC-v1|13.2, SWIFT-CSCv1|6.4, TBA-FIISB|37.4
Policy Value:
0
Actual Value:
0</t>
  </si>
  <si>
    <t>"22.23 (L1) Ensure 'Days Until Aggressive Catchup Quick Scan' is set to '7 days' or fewer: [PASSED]"
This policy setting configures the number of days after the last scan (of any type) before an aggressive Quick Scan is automatically triggered.
The recommended state for this setting is: 7 days or fewer.
Antivirus scans should be performed on a regular basis so that malicious software can be detected and remediated before malicious activity occurs.
Solution:
To establish the recommended configuration via configuration profiles, set the following Settings Catalog path to 7 days or fewer.
Defender\Days Until Aggressive Catchup Quick Scan
Impact:
This setting should have no adverse effect on the system.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[1..7]
Actual Value:
7</t>
  </si>
  <si>
    <t>"6.10 (L1) Ensure 'Audit File Share Access' is set to 'Success and Failure': [PASSED]"
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
In an enterprise managed environment, workstations should have limited file sharing activity, as file servers would normally handle the overall burden of file sharing activities. Any unusual file sharing activity on workstations may therefore be useful in an investigation of potentially malicious activity.
Solution:
To establish the recommended configuration via configuration profiles, set the following Settings Catalog path to Success and Failure
Auditing\Audit File Share Access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CSCv7|14.6,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</si>
  <si>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"4.5.2 (L1) Ensure 'MSS: (DisableIPSourceRouting IPv6) IP source routing protection level (protects against packet spoofing)' is set to 'Enabled: Highest protection, source routing is completely disabled': [PASSED]"
IP source routing is a mechanism that allows the sender to determine the IP route that a datagram should follow through the network.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
Solution:
To establish the recommended configuration via configuration profiles, set the following Settings Catalog path to Enabled: Highest protection, source routing is completely disabled
Administrative Templates\MSS (Legacy)\MSS: (DisableIPSourceRouting IPv6) IP source routing protection level (protects against packet spoofing)
Impact:
All incoming source routed packets will be dropped.
See Also:
https://workbench.cisecurity.org/benchmarks/21719
Reference:
800-171|3.13.1, 800-171r3|03.13.01, 800-53|SC-7(12), 800-53r5|SC-7(12), CN-L3|8.1.10.6(j), CSF|DE.CM-1, CSF|PR.AC-5, CSF|PR.DS-5, CSF|PR.PT-4, CSF2.0|DE.CM-01, CSF2.0|PR.DS-01, CSF2.0|PR.DS-02, CSF2.0|PR.DS-10, CSF2.0|PR.IR-01, GDPR|32.1.b, HIPAA|164.306(a)(1), ISO-27001-2022|A.5.14, ISO-27001-2022|A.8.16, ISO-27001-2022|A.8.20, ISO/IEC-27001|A.13.1.3, ITSG-33|SC-7(12), LEVEL|1A, NESA|T4.5.4, NIAv2|AM38, NIAv2|SS13d, NIAv2|SS26, PCI-DSSv3.2.1|1.4, PCI-DSSv4.0|1.5.1, QCSC-v1|5.2.1, QCSC-v1|5.2.2, QCSC-v1|6.2, QCSC-v1|8.2.1, TBA-FIISB|43.1
Policy Value:
2
Actual Value:
2</t>
  </si>
  <si>
    <t>"81.26 (L1) Ensure 'Special Administration Console Helper (sacsvr)' is set to 'Disabled' or 'Not Installed': [PASSED]"
This service allows administrators to remotely access a command prompt using Emergency Management Services.
The recommended state for this setting is: Disabled or Not Installed
Note: This service is not installed by default. It is supplied with Windows, but it is installed by enabling an optional Windows capability (
Windows Emergency Management Services and Serial Console
).
Allowing the use of a remotely accessible command prompt that provides the ability to perform remote management tasks on a computer is a security risk.
Solution:
To establish the recommended configuration, set the following Custom Configuration Policy to 4 or confirm that the service is Not installed :
Name:  &lt;Enter name&gt;
Description: &lt;Enter Description&gt;
OMA-URI:
       ./Device/Vendor/MSFT/Policy/Config/SystemServices/ConfigureSpecialAdministrationConsoleHelperServiceStartupMode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sacsvr -StartupType Disabled
Impact:
Users will not have access to a remote command prompt using Emergency Management Services.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</si>
  <si>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"97.4 (L1) Ensure 'Require Security Device' is set to 'true': [PASSED]"
This policy controls whether a Trusted Platform Module (TPM) is required to provision Windows Hello for Business.
 - If you enable this policy setting, only devices with a usable TPM provision Windows Hello for Business.
 - If you disable or don't configure this policy setting, the TPM is still preferred, but all devices provision Windows Hello for Business using software if the TPM is non-functional or unavailable.
The recommended state for this setting is: true
Windows Hello for Business utilizes key-based or certificate-based authentication and makes credential theft extremely difficult.
When backed with a TPM chip multiple physical security mechanisms are added in order to make it tamper resistant.
Solution:
To establish the recommended configuration via configuration profiles, set the following Settings Catalog path to true :
Windows Hello For Business\Require Security Device
Impact:
If the TPM chip unexpectedly fails the user would be unable to authenticate using their PIN but would still be able to sign-in with their EntraID account password.
See Also:
https://workbench.cisecurity.org/benchmarks/21719
Reference:
800-171|3.5.1, 800-171r3|03.05.01a., 800-53|IA-2, 800-53r5|IA-2, CN-L3|7.1.3.1(a), CN-L3|7.1.3.1(e), CN-L3|8.1.4.1(a), CN-L3|8.1.4.2(a), CN-L3|8.5.4.1(a), CSF|PR.AC-1, CSF2.0|PR.AA-01, CSF2.0|PR.AA-03, GDPR|32.1.b, HIPAA|164.306(a)(1), HIPAA|164.312(a)(2)(i), HIPAA|164.312(d), ISO-27001-2022|A.5.16, ITSG-33|IA-2, ITSG-33|IA-2a., LEVEL|1A, NESA|T2.3.8, NESA|T5.3.1, NESA|T5.4.2, NESA|T5.5.1, NESA|T5.5.2, NESA|T5.5.3, NIAv2|AM2, NIAv2|AM8, NIAv2|AM14b, QCSC-v1|5.2.2, QCSC-v1|13.2, TBA-FIISB|35.1, TBA-FIISB|36.1
Policy Value:
'1'
Actual Value:
'1'</t>
  </si>
  <si>
    <t>"49.27 (L1) Ensure 'Network security: Restrict NTLM: Audit Incoming NTLM Traffic' is set to 'Enable auditing for all accounts': [PASSED]"
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
Solution:
To establish the recommended configuration via configuration profiles, set the following Settings Catalog path to Enable auditing for all accounts :
Local Policies Security Options\Network security: Restrict NTLM: Audit Incoming NTLM Traffic
Impact:
The event log will contain information on incoming NTLM authentication traffic.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2
Actual Value:
2</t>
  </si>
  <si>
    <t>"55.2 (L1) Ensure 'Allow Game DVR' is set to 'Block': [PASSED]"
This setting enables or disables the Windows Game Recording and Broadcasting features.
The recommended state for this setting is: Block
If this setting is allowed, users could record and broadcast session info to external sites, which is both a risk of accidentally exposing sensitive company data (on-screen) outside the company as well as a privacy concern.
Solution:
To establish the recommended configuration via configuration profiles, set the following Settings Catalog path to Block :
Microsoft App Store\Allow Game DVR
Impact:
Windows Game Recording will not be allowed.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</si>
  <si>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"4.11.6.2 (L1) Ensure 'Set the default behavior for AutoRun' is set to 'Enabled: Do not execute any autorun commands': [PASSED]"
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Solution:
To establish the recommended configuration via configuration profiles, set the following Settings Catalog path to Enabled: Do not execute any autorun commands
Administrative Templates\Windows Components\AutoPlay Policies\Set the default behavior for AutoRun
Impact:
AutoRun commands will be completely disabled.
See Also:
https://workbench.cisecurity.org/benchmarks/21719
Reference:
800-171|3.8.7, 800-171r3|03.08.07, 800-53|MP-7, 800-53r5|MP-7, CN-L3|8.5.4.1(c), CSCv7|8.5, CSCv8|10.3, CSF|PR.PT-2, GDPR|32.1.b, HIPAA|164.306(a)(1), HIPAA|164.312(a)(1), ISO-27001-2022|A.5.10, ISO-27001-2022|A.7.10, ISO/IEC-27001|A.8.3.1, ISO/IEC-27001|A.8.3.3, LEVEL|1A, NESA|T1.4.1
Policy Value:
1
Actual Value:
1</t>
  </si>
  <si>
    <t>"49.32 (L1) Ensure 'User Account Control: Use Admin Approval Mode' is set to 'Enabled': [PASSED]"
This policy setting controls the behavior of Admin Approval Mode for the built-in Administrator account.
The recommended state for this setting is: Enabled
One of the risks that the User Account Control feature introduced with Windows Vista is trying to mitigate is that of malicious software running under elevated credentials without the user or administrator being aware of its activity. An attack vector for these programs was to discover the password of the account named 'Administrator' because that user account was created for all installations of Windows. To address this risk, in Windows Vista or newer, the built-in Administrator account is now disabled by default. In a default installation of a new computer, accounts with administrative control over the computer are initially set up in one of two ways:
 - If the computer is not joined to a domain, the first user account you create has the equivalent permissions as a local administrator.
 - If the computer is joined to a domain, no local administrator accounts are created. The Enterprise or Domain Administrator must log on to the computer and create one if a local administrator account is warranted.
Once Windows is installed, the built-in Administrator account may be manually enabled, but we strongly recommend that this account remain disabled.
Solution:
To establish the recommended configuration via configuration profiles, set the following Settings Catalog path to Enabled :
Local Policies Security Options\User Account Control: Use Admin Approval Mode
Impact:
The built-in Administrator account uses Admin Approval Mode. Users that log on using the local Administrator account will be prompted for consent whenever a program requests an elevation in privilege, just like any other user would.
See Also:
https://workbench.cisecurity.org/benchmarks/21719
Reference:
800-171|3.5.2, 800-171r3|03.05.07, 800-53|IA-5(1), 800-53r5|IA-5(1), CSCv7|4.4, CSF|PR.AC-1, CSF2.0|PR.AA-01, CSF2.0|PR.AA-03, GDPR|32.1.b, HIPAA|164.306(a)(1), HIPAA|164.312(a)(2)(i), HIPAA|164.312(d), ISO-27001-2022|A.5.16, ISO-27001-2022|A.5.17, ITSG-33|IA-5(1), LEVEL|1A, NESA|T5.2.3, QCSC-v1|5.2.2, QCSC-v1|13.2, SWIFT-CSCv1|4.1
Policy Value:
1
Actual Value:
1</t>
  </si>
  <si>
    <t>"6.6 (L1) Ensure 'Account Management Audit Application Group Management' is set to 'Success and Failure': [PASSED]"
This policy setting allows you to audit events generated by changes to application groups such as the following:
 - Application group is created, changed, or deleted.
 - Member is added or removed from an application group.
Application groups are utilized by Windows Authorization Manager, which is a flexible framework created by Microsoft for integrating role-based access control (RBAC) into applications. More information on Windows Authorization Manager is available at
MSDN - Windows Authorization Manager
.
The recommended state for this setting is: Success and Failure
Note: Although Microsoft '
Deprecated
' Windows Authorization Manager (AzMan) in Windows Server 2012 and 2012 R2, this feature still exists in the OS (unimproved), and therefore should still be audited.
Auditing events in this category may be useful when investigating an incident.
Solution:
To establish the recommended configuration via configuration profiles, set the following Settings Catalog path to Success and Failure
Auditing\Account Management Audit Application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</si>
  <si>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"4.10.26.6 (L1) Ensure 'Turn off picture password sign-in' is set to 'Enabled': [PASSED]"
This policy setting allows you to control whether a domain user can sign in using a picture password.
The recommended state for this setting is: Enabled
Note: If the picture password feature is permitted, the user's domain password is cached in the system vault when using it.
Picture passwords bypass the requirement for a typed complex password. In a shared work environment, a simple shoulder surf where someone observed the on-screen gestures would allow that person to gain access to the system without the need to know the complex password. Vertical monitor screens with an image are much more visible at a distance than horizontal key strokes, increasing the likelihood of a successful observation of the mouse gestures.
Solution:
To establish the recommended configuration via configuration profiles, set the following Settings Catalog path to Enabled
Administrative Templates\System\Logon\Turn off picture password sign-in
Impact:
Users will not be able to set up or sign in with a picture password.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1
Actual Value:
1</t>
  </si>
  <si>
    <t>"72.2 (L1) Ensure 'Allow Indexing Encrypted Stores Or Items' is set to 'Block': [FAILED]"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Block
Indexing and allowing users to search encrypted files could potentially reveal confidential data stored within the encrypted files.
Solution:
To establish the recommended configuration via configuration profiles, set the following Settings Catalog path to Block :
Search\Allow Indexing Encrypted Stores Or Items
Impact:
None - this is the default behavior.
See Also:
https://workbench.cisecurity.org/benchmarks/21719
Reference:
800-171|3.4.2, 800-171|3.4.6, 800-171|3.4.7, 800-171r3|03.04.02, 800-171r3|03.04.06, 800-53|CM-6, 800-53|CM-7, 800-53r5|CM-6, 800-53r5|CM-7, CSCv7|14.8, CSCv8|4.8, CSF|PR.IP-1, CSF|PR.PT-3, CSF2.0|DE.CM-09, CSF2.0|PR.PS-01, GDPR|32.1.b, HIPAA|164.306(a)(1), ISO-27001-2022|A.8.9, ITSG-33|CM-6, ITSG-33|CM-7, LEVEL|1A, NIAv2|SS15a, PCI-DSSv3.2.1|2.2.2, SWIFT-CSCv1|2.3
Policy Value:
0
Actual Value:
1</t>
  </si>
  <si>
    <t>"89.13 (L1) Ensure 'Deny Access From Network' to include 'Guests, Local account': [PASSED]"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Computer From Network user right if an account is subject to both policies.
The recommended state for this setting is to include: *S-1-5-32-546 and *S-1-5-113 (Guests, Local account).
Caution: Configuring a standalone (non-domain-joined) workstation as described above may result in an inability to remotely administer the workstation.
Note: The security identifier Local account is not available in Windows 7 and Windows 8.0 unless
MSKB 2871997
has been installed.
Users who can log on to the computer over the network can enumerate lists of account names, group names, and shared resources. Users with permission to access shared folders and files can connect over the network and possibly view or modify data.
Solution:
To establish the recommended configuration via configuration profiles, set the following Settings Catalog path to *S-1-5-32-546 and *S-1-5-113 (Guests, Local account).
User Rights\Deny Access From Network
Note: Include only one User or Group per line in the Settings Catalog configuration screen.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&amp;&amp; 'Local account'
Actual Value:
'guests' &amp;&amp; 'local account'</t>
  </si>
  <si>
    <t>"6.1 (L1) Ensure 'Account Logon Audit Credential Validation' is set to 'Success and Failure': [PASSED]"
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Auditing\Account Logon Audit Credential Validation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</si>
  <si>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"6.20 (L1) Ensure 'Object Access Audit Removable Storage' is set to 'Success and Failure': [PASSED]"
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
Auditing removable storage may be useful when investigating an incident. For example, if an individual is suspected of copying sensitive information onto a USB drive.
Solution:
To establish the recommended configuration via configuration profiles, set the following Settings Catalog path to Success and Failure
Auditing\Object Access Audit Removable Storage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</si>
  <si>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"89.12 (L1) Ensure 'Debug Programs' is set to 'Administrators': [PASSED]"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The recommended state for this setting is: *S-1-5-32-544 (Administrators).
Note: This user right is considered a 'sensitive privilege' for the purposes of auditing.
The Debug programs user right can be exploited to capture sensitive computer information from system memory, or to access and modify kernel or application structures. Some attack tools exploit this user right to extract hashed passwords and other private security information, or to insert rootkit code. By default, the Debug programs user right is assigned only to administrators, which helps to mitigate the risk from this vulnerability.
Solution:
To establish the recommended configuration via configuration profiles, set the following Settings Catalog path to *S-1-5-32-544 (Administrators).
User Rights\Debug Programs
Note: Include only one User or Group per line in the Settings Catalog configuration screen.
Impact:
If you revoke this user right, no one will be able to debug programs. However, typical circumstances rarely require this capability on production computers.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CSCv7|18.2,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</si>
  <si>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"22.21 (L1) Ensure 'ASR: Block Win32 API calls from Office macros' is set to 'Block': [FAILED]"
This rule prevents VBA macros from calling Win32 APIs. Office VBA enables Win32 API calls.
The recommended state for this setting is: Block
Malware can abuse VBA macro calls with various methods, such as calling Win32 APIs to launch malicious shellcode without writing anything directly to disk. Most organizations don't rely on the ability to call Win32 APIs in their day-to-day functioning, even if they use macros in other ways.
Solution:
To establish the recommended configuration via configuration profiles, set the following Settings Catalog path to Block
Defender\Block Win32 API calls from Office macros
Impact:
Files copied from the USB to the disk drive will be blocked by this rule if and when it's about to be executed on the disk drive.
See Also:
https://workbench.cisecurity.org/benchmarks/21719
Reference:
800-53|SI-16, 800-53r5|SI-16, CSCv7|8.3, CSCv8|10.5, CSF2.0|PR.DS-10, GDPR|32.1.b, HIPAA|164.306(a)(1), ITSG-33|SI-16, LEVEL|1A
Policy Value:
'\b(?i)92e97fa1-2edf-4476-bdd6-9dd0b4dddc7b=1\b'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</si>
  <si>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"4.5.5 (L1) Ensure 'MSS: (EnableICMPRedirect) Allow ICMP redirects to override OSPF generated routes' is set to 'Disabled': [PASSED]"
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
Solution:
To establish the recommended configuration via configuration profiles, set the following Settings Catalog path to Disabled
Administrative Templates\MSS (Legacy)\MSS: (EnableICMPRedirect) Allow ICMP redirects to override OSPF generated routes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CSCv8|4.1, CSCv8|4.8,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0
Actual Value:
0</t>
  </si>
  <si>
    <t>"4.11.15.3.2 (L1) Ensure 'Specify the maximum log file size (KB)' is set to 'Enabled: 32,768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32,768 or greater
Administrative Templates\Windows Components\Event Log Service\Setup\Specify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[32768..4294967295]
Actual Value:
102400</t>
  </si>
  <si>
    <t>"4.11.36.3.2 (L1) Ensure 'Do not allow passwords to be saved' is set to 'Enabled': [PASSED]"
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An attacker with physical access to the computer may be able to break the protection guarding saved passwords. An attacker who compromises a user's account and connects to their computer could use saved passwords to gain access to additional hosts.
Solution:
To establish the recommended configuration via configuration profiles, set the following Settings Catalog path to Enabled
Administrative Templates\Windows Components\Remote Desktop Services\Remote Desktop Connection Client\Do not allow passwords to be saved
Impact:
The password saving checkbox will be disabled for Remote Desktop clients and users will not be able to save passwords.
See Also:
https://workbench.cisecurity.org/benchmarks/21719
Reference:
800-171|3.5.2, 800-171r3|03.05.12, 800-53|IA-5(13), 800-53r5|IA-5(13), CSF|PR.AC-1, CSF2.0|PR.AA-01, CSF2.0|PR.AA-03, GDPR|32.1.b, HIPAA|164.306(a)(1), HIPAA|164.312(a)(2)(i), HIPAA|164.312(d), ISO-27001-2022|A.5.16, ISO-27001-2022|A.5.17, ITSG-33|IA-5, LEVEL|1A, NESA|T5.2.3, QCSC-v1|5.2.2, QCSC-v1|13.2
Policy Value:
1
Actual Value:
1</t>
  </si>
  <si>
    <t>"81.39 (L1) Ensure 'Xbox Accessory Management Service (XboxGipSvc)' is set to 'Disabled': [PASSED]"
This service manages connected Xbox Accessories.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Accessory Management Service
Impact:
Connected Xbox accessories may not function.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</si>
  <si>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"4.9.1.1 (L1) Ensure 'Turn off toast notifications on the lock screen (User)' is set to 'Enabled': [PASSED]"
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
Solution:
To establish the recommended configuration via configuration profiles, set the following Settings Catalog path to Enabled
Administrative Templates\Start Menu and Taskbar\Notifications\Turn off toast notifications on the lock screen (User)
Impact:
Applications will not be able to raise toast notifications on the lock screen.
See Also:
https://workbench.cisecurity.org/benchmarks/21719
Reference:
800-171|3.4.2, 800-171|3.4.6, 800-171|3.4.7, 800-171r3|03.04.02, 800-171r3|03.04.06, 800-53|CM-6, 800-53|CM-7, 800-53r5|CM-6, 800-53r5|CM-7, CSCv7|16.11, CSCv8|4.8, CSF|PR.IP-1, CSF|PR.PT-3, CSF2.0|DE.CM-09, CSF2.0|PR.PS-01, GDPR|32.1.b, HIPAA|164.306(a)(1), ISO-27001-2022|A.8.9, ITSG-33|CM-6, ITSG-33|CM-7, LEVEL|1A, NIAv2|SS15a, PCI-DSSv3.2.1|2.2.2, SWIFT-CSCv1|2.3
Policy Value:
1
Actual Value:
Compliant items:</t>
  </si>
  <si>
    <t>"93.1 (L1) Ensure 'Allow Auto Connect To Wi Fi Sense Hotspots' is set to 'Block': [PASSED]"
This policy setting determines whether users can enable the following WLAN settings: 'Connect to suggested open hotspots,' 'Connect to networks shared by my contacts,' and 'Enable paid services'.
 - 'Connect to suggested open hotspots' enables Windows to automatically connect users to open hotspots it knows about by crowdsourcing networks that other people using Windows have connected to.
 - 'Connect to networks shared by my contacts' enables Windows to automatically connect to networks that the user's contacts have shared with them, and enables users on this device to share networks with their contacts.
 - 'Enable paid services' enables Windows to temporarily connect to open hotspots to determine if paid services are available.
The recommended state for this setting is: Block
Note: These features are also known by the name '
Wi-Fi Sense
'.
Automatically connecting to an open hotspot or network can introduce the system to a rogue network with malicious intent.
Solution:
To establish the recommended configuration via configuration profiles, set the following Settings Catalog path to Block
Wi-Fi Settings\Allow Auto Connect To Wi Fi Sense Hotspots
Impact:
Connect to suggested open hotspots
,
Connect to networks shared by my contacts
, and
Enable paid services
will each be turned off and users on the device will be prevented from enabling them.
See Also:
https://workbench.cisecurity.org/benchmarks/21719
Reference:
800-171|3.4.2, 800-171|3.4.6, 800-171|3.4.7, 800-171r3|03.04.02, 800-171r3|03.04.06, 800-53|CM-6, 800-53|CM-7, 800-53r5|CM-6, 800-53r5|CM-7, CSCv7|15.5, CSCv8|4.8, CSF|PR.IP-1, CSF|PR.PT-3, CSF2.0|DE.CM-09, CSF2.0|PR.PS-01, GDPR|32.1.b, HIPAA|164.306(a)(1), ISO-27001-2022|A.8.9, ITSG-33|CM-6, ITSG-33|CM-7, LEVEL|1A, NIAv2|SS15a, PCI-DSSv3.2.1|2.2.2, SWIFT-CSCv1|2.3
Policy Value:
0
Actual Value:
0</t>
  </si>
  <si>
    <t>"49.7 (L1) Ensure 'Interactive logon: Do not require CTRL+ALT+DEL' is set to 'Disabled': [FAILED]"
This policy setting determines whether users must press CTRL+ALT+DEL before they log on.
The recommended state for this setting is: Disabled
Microsoft developed this feature to make it easier for users with certain types of physical impairments to log on to computers that run Windows. If users are not required to press CTRL+ALT+DEL, they are susceptible to attacks that attempt to intercept their passwords. If CTRL+ALT+DEL is required before logon, user passwords are communicated by means of a trusted path.
An attacker could install a Trojan horse program that looks like the standard Windows logon dialog box and capture the user's password. The attacker would then be able to log on to the compromised account with whatever level of privilege that user has.
Solution:
To establish the recommended configuration via configuration profiles, set the following Settings Catalog path to Disabled :
Local Policies Security Options\Interactive logon: Do not require CTRL+ALT+DEL
Impact:
Users must press CTRL+ALT+DEL before they log on to Windows unless they use a smart card for Windows logon. A smart card is a tamper-proof device that stores security information.
See Also:
https://workbench.cisecurity.org/benchmarks/21719
Reference:
800-171|3.4.2, 800-171r3|03.04.02a., 800-53|CM-6b., 800-53r5|CM-6b., CN-L3|8.1.10.6(d), CSF|PR.IP-1, CSF2.0|DE.CM-09, CSF2.0|PR.PS-01, GDPR|32.1.b, HIPAA|164.306(a)(1), ISO-27001-2022|A.8.9, ITSG-33|CM-6b., LEVEL|1A, NESA|T3.2.1, SWIFT-CSCv1|2.3
Policy Value:
0
Actual Value:
1</t>
  </si>
  <si>
    <t>"4.11.31.1 (L1) Ensure 'Prevent users from sharing files within their profile. (User)' is set to 'Enabled': [PASSED]"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
Solution:
To establish the recommended configuration via configuration profiles, set the following Settings Catalog path to Enabled
Administrative Templates\Windows Components\Network Sharing\Prevent users from sharing files within their profile. (User)
Impact:
Users cannot share files within their profile using the sharing wizard. Also, the sharing wizard cannot create a share at %root%\Users and can only be used to create SMB shares on folders.
See Also:
https://workbench.cisecurity.org/benchmarks/21719
Reference:
800-171|3.1.1, 800-171r3|03.01.02, 800-53|AC-3, 800-53r5|AC-3, CN-L3|8.1.4.2(f), CN-L3|8.1.4.11(b), CN-L3|8.1.10.2(c), CN-L3|8.5.3.1, CN-L3|8.5.4.1(a), CSCv7|14.6, CSF|PR.AC-4, CSF|PR.PT-3, CSF2.0|PR.AA-05, CSF2.0|PR.DS-10, CSF2.0|PR.IR-01, GDPR|32.1.b, HIPAA|164.306(a)(1), HIPAA|164.312(a)(1), ISO-27001-2022|A.5.15, ISO-27001-2022|A.5.33, ISO-27001-2022|A.8.3, ISO-27001-2022|A.8.18, ISO-27001-2022|A.8.20, ISO/IEC-27001|A.9.4.1, ISO/IEC-27001|A.9.4.5, ITSG-33|AC-3, LEVEL|1A, NESA|T4.2.1, NESA|T5.4.4, NESA|T5.4.5, NESA|T5.5.4, NESA|T5.6.1, NESA|T7.5.2, NESA|T7.5.3, NIAv2|AM3, NIAv2|SS29, QCSC-v1|3.2, QCSC-v1|5.2.2, QCSC-v1|13.2, TBA-FIISB|31.1
Policy Value:
1
Actual Value:
Compliant items:</t>
  </si>
  <si>
    <t>"4.5.13 (L1) Ensure 'MSS: (WarningLevel) Percentage threshold for the security event log at which the system will generate a warning' is set to 'Enabled: 90% or less': [PASSED]"
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
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
Solution:
To establish the recommended configuration via configuration profiles, set the following Settings Catalog path to Enabled: 90% or less
Administrative Templates\MSS (Legacy)\MSS: (WarningLevel) Percentage threshold for the security event log at which the system will generate a warning
Impact:
An audit event will be generated when the Security log reaches the 90% percent full threshold (or whatever lower value may be set) unless the log is configured to overwrite events as needed.
See Also:
https://workbench.cisecurity.org/benchmarks/21719
Reference:
800-53|AU-4, 800-53r5|AU-4, CSCv7|6.3, CSCv7|6.4, CSCv8|8.3, CSF|PR.DS-4, CSF|PR.PT-1, GDPR|32.1.b, HIPAA|164.306(a)(1), HIPAA|164.312(b), ISO-27001-2022|A.8.6, ITSG-33|AU-4, LEVEL|1A, NESA|T3.3.1, NESA|T3.6.2, QCSC-v1|8.2.1, QCSC-v1|13.2
Policy Value:
[1..90]
Actual Value:
90</t>
  </si>
  <si>
    <t>"89.32 (L1) Ensure 'Replace Process Level Token' is set to 'LOCAL SERVICE, NETWORK SERVICE': [PASSED]"
This policy setting allows one process or service to start another service or process with a different security access token, which can be used to modify the security access token of that sub-process and result in the escalation of privileges.
The recommended state for this setting is: *S-1-5-19 *S-1-5-20 (LOCAL SERVICE, NETWORK SERVICE).
Note: This user right is considered a 'sensitive privilege' for the purposes of auditing.
Users with the Replace a process level token privilege are able to start processes as other users whose credentials they know. They could use this method to hide their unauthorized actions on the computer. (On Windows 2000-based computers, use of the Replace a process level token user right also requires the user to have the Adjust memory quotas for a process user right that is discussed earlier in this section.)
Solution:
To establish the recommended configuration via configuration profiles, set the following Settings Catalog path to *S-1-5-19 *S-1-5-20 (LOCAL SERVICE, NETWORK SERVICE).
User Rights\Replace Process Level Token
Impact:
On most computers, this is the default configuration and there will be no negative impact. However, if you have installed
Web Server (IIS)
, you will need to allow the IIS application pool(s) to be granted this User Right Assignment.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'LOCAL SERVICE' &amp;&amp; 'NETWORK SERVICE'
Actual Value:
'network service' &amp;&amp; 'local service'</t>
  </si>
  <si>
    <t>"89.23 (L1) Ensure 'Lock Memory' is set to 'No One': [PASSED]"
This policy setting allows a process to keep data in physical memory, which prevents the system from paging the data to virtual memory on disk. If this user right is assigned, significant degradation of system performance can occur.
The recommended state for this setting is: No One
Users with the Lock pages in memory user right could assign physical memory to several processes, which could leave little or no RAM for other processes and result in a DoS condition.
Solution:
To establish the recommended configuration via configuration profiles, set the following Settings Catalog path to (&lt;![CDATA[]]&gt;) which equals No One
User Rights\Lock Memory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</si>
  <si>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"4.6.9.3 (L1) Ensure 'Require domain users to elevate when setting a network's location' is set to 'Enabled': [PASSED]"
This policy setting determines whether to require domain users to elevate when setting a network's location.
The recommended state for this setting is: Enabled
Allowing regular users to set a network location increases the risk and attack surface.
Solution:
To establish the recommended configuration via configuration profiles, set the following Settings Catalog path to Enabled
Administrative Templates\Network\Network Connections\Require domain users to elevate when setting a network's location
Impact:
Domain users must elevate when setting a network's location.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1
Actual Value:
1</t>
  </si>
  <si>
    <t>"22.8 (L1) Ensure 'ASR: Block Adobe Reader from creating child processes' is set to 'Block': [PASSED]"
This rule prevents attacks by blocking Adobe Reader from creating processes.
Malware can download and launch payloads and break out of Adobe Reader through social engineering or exploits. By blocking child processes from being generated by Adobe Reader, malware attempting to use Adobe Reader as an attack vector are prevented from spreading.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Adobe Reader from creating child processes
Impact:
When a rule is triggered, a notification will be displayed from the Action Center.
See Also:
https://workbench.cisecurity.org/benchmarks/21719
Reference:
800-53|SI-16, 800-53r5|SI-16, CSCv7|8.3, CSCv8|10.5, CSF2.0|PR.DS-10, GDPR|32.1.b, HIPAA|164.306(a)(1), ITSG-33|SI-16, LEVEL|1A
Policy Value:
'\b(?i)7674ba52-37eb-4a4f-a9a1-f0f9a1619a2c=1\b'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</si>
  <si>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"49.34 (L1) Ensure 'User Account Control: Run all administrators in Admin Approval Mode' is set to 'Enabled': [PASSED]"
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
This is the setting that turns on or off UAC. If this setting is disabled, UAC will not be used and any security benefits and risk mitigations that are dependent on UAC will not be present on the system.
Solution:
To establish the recommended configuration via configuration profiles, set the following Settings Catalog path to Enabled :
Local Policies Security Options\User Account Control: Run all administrators in Admin Approval Mode
Impact:
None - this is the default behavior. Users and administrators will need to learn to work with UAC prompts and adjust their work habits to use least privilege operations.
See Also:
https://workbench.cisecurity.org/benchmarks/21719
Reference:
800-171|3.1.5, 800-171r3|03.01.05b., 800-53|AC-6(1), 800-53r5|AC-6(1), CN-L3|7.1.3.2(b), CN-L3|7.1.3.2(g), CN-L3|8.1.4.2(d), CN-L3|8.1.10.6(a), CSF|PR.AC-4, CSF2.0|PR.AA-05, GDPR|32.1.b, HIPAA|164.306(a)(1), HIPAA|164.312(a)(1), ISO-27001-2022|A.5.15, ISO-27001-2022|A.8.2, ISO-27001-2022|A.8.18, ISO/IEC-27001|A.9.4.4, ITSG-33|AC-6(1), LEVEL|1A, NESA|T5.1.1, NESA|T5.4.4, NESA|T5.5.4, NESA|T5.6.1, NESA|T7.5.3, NIAv2|AM31, NIAv2|GS3, NIAv2|GS4, NIAv2|GS8c, NIAv2|VL3b, PCI-DSSv3.2.1|7.1.2, PCI-DSSv4.0|7.2.1, PCI-DSSv4.0|7.2.2, QCSC-v1|5.2.2, QCSC-v1|6.2, SWIFT-CSCv1|5.1, TBA-FIISB|31.4.2, TBA-FIISB|31.4.3
Policy Value:
1
Actual Value:
1</t>
  </si>
  <si>
    <t>"49.19 (L1) Ensure 'Network access: Restrict anonymous access to Named Pipes and Shares' is set to 'Enabled': [PASSED]"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HKLM\SYSTEM\CurrentControlSet\Services\LanManServer\Parameters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
Solution:
To establish the recommended configuration via configuration profiles, set the following Settings Catalog path to Enabled :
Local Policies 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</si>
  <si>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"4.10.44.1.1 (L1) Ensure 'Enable Windows NTP Client' is set to 'Enabled': [PASSED]"
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
Solution:
To establish the recommended configuration via configuration profiles, set the following Settings Catalog path to Enabled
Administrative Templates\System\Windows Time Service\Time Providers\Enable Windows NTP Client
Impact:
System time will be synced to the configured NTP server(s).
See Also:
https://workbench.cisecurity.org/benchmarks/21719
Reference:
800-171|3.3.6, 800-171|3.3.7, 800-171r3|03.03.06a., 800-171r3|03.03.07, 800-53|AU-7, 800-53|AU-8, 800-53r5|AU-7, 800-53r5|AU-8, CN-L3|7.1.2.3(c), CN-L3|8.1.4.3(b), CSCv7|6.1, CSCv8|8.4, CSF|PR.PT-1, CSF|RS.AN-3, CSF2.0|PR.PS-04, CSF2.0|RS.AN-03, CSF2.0|RS.AN-06, CSF2.0|RS.AN-07, GDPR|32.1.b, HIPAA|164.306(a)(1), HIPAA|164.312(b), ISO-27001-2022|A.8.17, ITSG-33|AU-7, ITSG-33|AU-8, LEVEL|1A, NESA|T3.6.2, QCSC-v1|8.2.1, QCSC-v1|10.2.1, QCSC-v1|11.2, QCSC-v1|13.2, SWIFT-CSCv1|6.4, TBA-FIISB|37.4
Policy Value:
1
Actual Value:
1</t>
  </si>
  <si>
    <t>"105.1 (L1) Ensure 'Backup Directory' is set to 'Backup the password to Azure AD only': [PASSED]"
This policy setting configures which directory Windows LAPS will use to back up the local admin account password.
The recommended state for this setting is: Backup the password to Azure AD only
Note: Organizations that utilize third-party commercial software to manage unique &amp; complex local Administrator passwords on domain members may opt to disregard these LAPS recommendations.
 - Windows LAPS does not support standalone computers - they must be joined to an Active Directory domain or Entra ID (formerly Azure Active Directory).
 - Windows LAPS does not support simultaneous storage of the local admin password in both directory types.
 - If the setting is configured and the managed device is not joined to the configured directory type, the local administrator password will not be managed by Windows LAPS.
Important: An organization wishing to use Active Directory to backup the LAPS password may make an exception for this recommendation. To implement Active Directory backup see the latest on-premises CIS Benchmark for Windows 10/11. When backing up with Active Directory there are 2 additional security controls to be considered in the benchmark which are not available when using Azure AD for backup. These were excluded from the Intune benchmark as they cannot be selected unless Active Directory is selected as the backup location.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of the type Local admin password solution (Windows LAPS)
 - Set Backup Directory to Backup the password to Azure AD only
Impact:
The passwords managed by Windows LAPS will only be retrievable from the configured directory type.
See Also:
https://workbench.cisecurity.org/benchmarks/21719
Reference:
800-171|3.8.9, 800-171r3|03.08.09, 800-53|CP-9, 800-53r5|CP-9, CSF|PR.IP-4, CSF2.0|PR.DS-01, CSF2.0|PR.DS-10, CSF2.0|PR.DS-11, CSF2.0|RC.RP-03, GDPR|32.1.b, GDPR|32.1.c, HIPAA|164.306(a)(1), ISO-27001-2022|A.5.29, ISO-27001-2022|A.5.33, ISO-27001-2022|A.8.13, ISO/IEC-27001|A.12.3.1, ITSG-33|CP-9, LEVEL|1A, NESA|M5.2.3, NESA|T2.2.4
Policy Value:
1
Actual Value:
1</t>
  </si>
  <si>
    <t>"4.11.55.2.1 (L1) Ensure 'Allow Basic authentication' is set to 'Disabled': [PASSED]"
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
Solution:
To establish the recommended configuration via configuration profiles, set the following Settings Catalog path to Disabled
Administrative Templates\Windows Components\Windows Remote Management (WinRM)\WinRM Service\Allow Basic authentication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</si>
  <si>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"22.14 (L1) Ensure 'ASR: Block JavaScript or VBScript from launching downloaded executable content' is set to 'Block': [PASSED]"
This rule prevents scripts from launching potentially malicious downloaded content. Malware written in JavaScript or VBScript often acts as a downloader to fetch and launch other malware from the Internet. Although not common, line-of-business applications sometimes use scripts to download and launch installers.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JavaScript or VBScript from launching downloaded executable content
Impact:
When a rule is triggered, a notification will be displayed from the Action Center.
See Also:
https://workbench.cisecurity.org/benchmarks/21719
Reference:
800-53|SI-16, 800-53r5|SI-16, CSCv7|8.3, CSCv8|10.5, CSF2.0|PR.DS-10, GDPR|32.1.b, HIPAA|164.306(a)(1), ITSG-33|SI-16, LEVEL|1A
Policy Value:
'\b(?i)d3e037e1-3eb8-44c8-a917-57927947596d=1\b'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</si>
  <si>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"81.28 (L1) Ensure 'UPnP Device Host (upnphost)' is set to 'Disabled': [PASSED]"
Allows UPnP devices to be hosted on this computer.
The recommended state for this setting is: Disabled
Universal Plug n Play (UPnP) is a real security risk - it allows automatic discovery and attachment to network devices. Notes that UPnP is different than regular Plug n Play (PnP). Workstations should not be advertising their services (or automatically discovering and connecting to networked services) in a security-conscious enterprise managed environment.
Solution:
To establish the recommended configuration, set the following Custom Configuration Policy to 4 :
Name:  &lt;Enter name&gt;
Description: &lt;Enter Description&gt;
OMA-URI: ./Device/Vendor/MSFT/Policy/Config/SystemServices/ConfigureUPnPDeviceHostServiceStartupMode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upnphost -StartupType Disabled
Impact:
Any hosted UPnP devices will stop functioning and no additional hosted devices can be added.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</si>
  <si>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"89.3 (L1) Ensure 'Act As Part Of The Operating System' is set to 'No One': [PASSED]"
This policy setting allows a process to assume the identity of any user and thus gain access to the resources that the user is authorized to access.
The recommended state for this setting is: No One
Note: This user right is considered a 'sensitive privilege' for the purposes of auditing.
The Act as part of the operating system user right is extremely powerful. Anyone with this user right can take complete control of the computer and erase evidence of their activities.
Solution:
To establish the recommended configuration via configuration profiles, set the following Settings Catalog path to (&lt;![CDATA[]]&gt;) which equals No One
User Rights\Act As Part Of The Operating System
Note: Using (&lt;![CDATA[]]&gt;) to represent a blank value or No One is recommended by Microsoft. However, there is a known issue where an error occurs in Endpoint Manger (Intune) but does not affect the policy setting from being applied to the system properly.
Impact:
There should be little or no impact because the Act as part of the operating system user right is rarely needed by any accounts other than the Local System account, which implicitly has this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</si>
  <si>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"49.1 (L1) Ensure 'Accounts: Enable Guest account status' is set to 'Disabled': [PASSED]"
This policy setting determines whether the Guest account is enabled or disabled. The Guest account allows unauthenticated network users to gain access to the system.
The recommended state for this setting is: Disabled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The default Guest account allows unauthenticated network users to log on as Guest with no password. These unauthorized users could access any resources that are accessible to the Guest account over the network. This capability means that any network shares with permissions that allow access to the Guest account, the Guests group, or the Everyone group will be accessible over the network, which could lead to the exposure or corruption of data.
Solution:
To establish the recommended configuration via configuration profiles, set the following Settings Catalog path to Disabled :
Local Policies Security Options\Accounts: Guest account status
Impact:
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Server(TM) 2003.
See Also:
https://workbench.cisecurity.org/benchmarks/21719
Reference:
800-171|3.5.2, 800-171r3|03.05.12, 800-53|IA-5, 800-53r5|IA-5, CSCv7|16.8, CSCv8|4.7, CSF|PR.AC-1, CSF2.0|PR.AA-01, CSF2.0|PR.AA-03, GDPR|32.1.b, HIPAA|164.306(a)(1), HIPAA|164.312(a)(2)(i), HIPAA|164.312(d), ISO-27001-2022|A.5.16, ISO-27001-2022|A.5.17, ITSG-33|IA-5, LEVEL|1A, NESA|T5.2.3, QCSC-v1|5.2.2, QCSC-v1|13.2
Policy Value:
'disabled'
Actual Value:
'disabled'</t>
  </si>
  <si>
    <t>"4.11.18.3 (L1) Ensure 'Turn off heap termination on corruption' is set to 'Disabled': [PASSED]"
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
Solution:
To establish the recommended configuration via configuration profiles, set the following Settings Catalog path to Disabled
Administrative Templates\Windows Components\File Explorer\Turn off heap termination on corruption
Impact:
None - this is the default behavior.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</si>
  <si>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"49.4 (L1) Configure 'Accounts: Rename guest account': [PASSED]"
The built-in local guest account is another well-known name to attackers. It is recommended to rename this account to something that does not indicate its purpose. Even if you disable this account, which is recommended, ensure that you rename it for added security.
The Guest account exists on all computers that run the Windows 2000 or newer operating systems. If you rename this account, it is slightly more difficult for unauthorized persons to guess this privileged user name and password combination.
Solution:
To establish the recommended configuration via configuration profiles, set the following Settings Catalog path:
Local Policies Security Options\Accounts: Rename guest account
Impact:
There should be little impact, because the Guest account is disabled by default.
See Also:
https://workbench.cisecurity.org/benchmarks/21719
Reference:
800-171|3.5.2, 800-171r3|03.05.12, 800-53|IA-5, 800-53r5|IA-5, CSCv8|4.7, CSF|PR.AC-1, CSF2.0|PR.AA-01, CSF2.0|PR.AA-03, GDPR|32.1.b, HIPAA|164.306(a)(1), HIPAA|164.312(a)(2)(i), HIPAA|164.312(d), ISO-27001-2022|A.5.16, ISO-27001-2022|A.5.17, ITSG-33|IA-5, LEVEL|1A, NESA|T5.2.3, QCSC-v1|5.2.2, QCSC-v1|13.2
Policy Value:
'Guest'
Actual Value:
'noguest'</t>
  </si>
  <si>
    <t>"46.1 (L1) Ensure 'Enable insecure guest logons' is set to 'Disabled': [PASSED]"
This policy setting determines if the SMB client will allow insecure guest logons to an SMB server.
The recommended state for this setting is: Disabled
Insecure guest logons are used by file servers to allow unauthenticated access to shared folders.
Solution:
To establish the recommended configuration via configuration profiles, set the following Settings Catalog path to Disabled:
Lanman Workstation\Enable insecure guest logons
Impact:
The SMB client will reject insecure guest logons. This was not originally the default behavior in older versions of Windows, but Microsoft changed the default behavior starting with Windows 10 R1709:
Guest access in SMB2 disabled by default in Windows 10 and Windows Server 2016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0
Actual Value:
0</t>
  </si>
  <si>
    <t>"4.10.4.1 (L1) Ensure 'Include command line in process creation events' is set to 'Enabled': [PASSED]"
This policy setting controls whether the process creation command line text is logged in security audit events when a new process has been created.
The recommended state for this setting is: Enabled
Note: This feature that this setting controls was not originally supported in workstation OSes older than Windows 8.1. However, in February 2015 Microsoft added support for the feature to Windows 7 and Windows 8.0 via an update -
KB3004375
. Therefore, this setting is also important to set on those older OSes.
Capturing process command line information in event logs can be very valuable when performing forensic investigations of attack incidents.
Solution:
To establish the recommended configuration via configuration profiles, set the following Settings Catalog path to Enabled
Administrative Templates\System\Audit Process Creation\Include command line in process creation events
Impact:
Process command line information will be included in the event logs, which can contain sensitive or private information such as passwords or user data.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
See Also:
https://workbench.cisecurity.org/benchmarks/21719
Reference:
800-171|3.3.1, 800-171|3.3.2, 800-171r3|03.03.01, 800-53|AU-2, 800-53r5|AU-2, CN-L3|8.1.4.3(a), CSCv7|16.4, CSCv8|8.8, CSF|PR.PT-1, CSF2.0|PR.PS-04, GDPR|32.1.b, HIPAA|164.306(a)(1), HIPAA|164.312(b), ISO-27001-2022|A.8.15, ITSG-33|AU-2, LEVEL|1A, NESA|M1.2.2, NESA|M5.5.1, NIAv2|AM7, NIAv2|AM11a, NIAv2|AM11b, NIAv2|AM11c, NIAv2|AM11d, NIAv2|AM11e, NIAv2|SS30, NIAv2|VL8, QCSC-v1|8.2.1, QCSC-v1|13.2, SWIFT-CSCv1|6.4
Policy Value:
1
Actual Value:
1</t>
  </si>
  <si>
    <t>"38.3 (L1) Ensure 'Enable Domain Network Firewall: Disable Inbound Notifications' is set to 'True': [PASSED]"
Select this option to have Windows Firewall with Advanced Security display notifications to the user when a program is blocked from receiving inbound connections.
The recommended state for this setting is: True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
Solution:
To establish the recommended configuration via configuration profiles, set the following Settings Catalog path to True :
Firewall\Enable Domain Network Firewall: Disable Inbound Notifications
Impact:
Windows Firewall will not display a notification when a program is blocked from receiving inbound connections.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</si>
  <si>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"55.6 (L1) Ensure 'MSI Allow user control over installs' is set to 'Disabled': [PASSED]"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
Solution:
To establish the recommended configuration via configuration profiles, set the following Settings Catalog path to Disabled :
Microsoft App Store\MSI Allow user control over installs
Impact:
None - this is the default behavior.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</si>
  <si>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"49.20 (L1) Ensure 'Network access: Restrict clients allowed to make remote calls to SAM' is set to 'Administrators: Remote Access: Allow': [PASSED]"
This policy setting allows you to restrict remote RPC connections to SAM.
The recommended state for this setting is: Administrators: Remote Access: Allow
Note: A Windows 10 R1607, Server 2016 or newer OS is required to access and set this value in Group Policy.
Note #2: This setting was originally only supported on Windows 10 R1607 or newer, then support for it was added to Windows 7 or newer via the March 2017 security patches.
Note #3: If your organization is using Microsoft Defender for Identity (formerly Azure Advanced Threat Protection (Azure ATP)), the (organization-named) Defender for Identity Directory Service Account (DSA), will also need to be granted the same Remote Access: Allow permission. For more information on adding the service account please see
Configure SAM-R to enable lateral movement path detection in Microsoft Defender for Identity | Microsoft Docs
.
To ensure that an unauthorized user cannot anonymously list local account names or groups and use the information to attempt to guess passwords or perform social engineering attacks. (Social engineering attacks try to deceive users in some way to obtain passwords or some form of security information.)
Solution:
To establish the recommended configuration via configuration profiles, set the following Settings Catalog path to Administrators: Remote Access: Allow :
Local Policies Security Options\Network access: Restrict clients allowed to make remote calls to SAM
Impact:
None - this is the default behavior.
See Also:
https://workbench.cisecurity.org/benchmarks/21719
Reference:
800-171|3.1.5, 800-171r3|03.01.05a., 800-53|AC-6(3), 800-53r5|AC-6(3), CN-L3|7.1.3.2(b), CN-L3|7.1.3.2(g), CN-L3|8.1.4.2(d), CN-L3|8.1.10.6(a), CSF|PR.AC-4, CSF2.0|PR.AA-05, GDPR|32.1.b, HIPAA|164.306(a)(1), HIPAA|164.312(a)(1), ISO-27001-2022|A.5.15, ISO-27001-2022|A.8.2, ISO-27001-2022|A.8.18, ISO/IEC-27001|A.9.1.2, ISO/IEC-27001|A.9.4.4, ITSG-33|AC-6(3), LEVEL|1A, NESA|T5.1.1, NESA|T5.5.4, NIAv2|AM1, NIAv2|AM23f, NIAv2|SS13c, NIAv2|SS15c, PCI-DSSv3.2.1|7.1.2, PCI-DSSv4.0|7.2.1, PCI-DSSv4.0|7.2.2, QCSC-v1|5.2.2, QCSC-v1|6.2, SWIFT-CSCv1|5.1, TBA-FIISB|31.4.2, TBA-FIISB|31.4.3
Policy Value:
'O:BAG:BAD:(A;;RC;;;BA)'
Actual Value:
'O:BAG:BAD:(A;;RC;;;BA)'</t>
  </si>
  <si>
    <t>"89.2 (L1) Ensure 'Access From Network' is set to 'Administrators, Remote Desktop Users': [PASSED]"
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is: *S-1-5-32-544 and *S-1-5-32-555 (Administrators, Remote Desktop Users).
Note: If your organization is using Microsoft Defender for Identity (formerly Azure Advanced Threat Protection (Azure ATP)), the (organization-named) Defender for Identity Directory Service Account (DSA), will also need to be granted the same Access from network User Right Assignment. For more information on adding the service account please see
Make sure the DSA is allowed to access computers from the network in Microsoft Defender for Identity | Microsoft Docs
.
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
Solution:
To establish the recommended configuration via configuration profiles, set the following Settings Catalog path to *S-1-5-32-544 and *S-1-5-32-555 (Administrators, Remote Desktop Users).
User Rights\Access From Network
Note: Include only one User or Group per line in the Settings Catalog configuration screen.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be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CSCv7|9.2,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'Remote Desktop Users'
Actual Value:
'remote desktop users' &amp;&amp; 'administrators'</t>
  </si>
  <si>
    <t>"4.6.9.2 (L1) Ensure 'Prohibit use of Internet Connection Sharing on your DNS domain network' is set to 'Enabled': [PASSED]"
Although this 'legacy' setting traditionally applied to the use of Internet Connection Sharing (ICS) in Windows 2000, Windows XP &amp; Server 2003, this setting now freshly applies to the Mobile Hotspot feature in Windows 10 &amp; Server 2016.
The recommended state for this setting is: Enabled
Warning: In order for Application Guard to function correctly, ICS must be enabled. If Application Guard is used in the environment, then an exception to this recommendation might be needed. To learn more on how to disable portions of ICS without breaking Application Guard, please visit:
FAQ - Microsoft Defender Application Guard | Microsoft Learn
.
Non-administrators should not be able to turn on the Mobile Hotspot feature and open their Internet connectivity up to nearby mobile devices.
Solution:
To establish the recommended configuration via configuration profiles, set the following Settings Catalog path to Enabled
Administrative Templates\Network\Network Connections\Prohibit use of Internet Connection Sharing on your DNS domain network
Impact:
Mobile Hotspot cannot be enabled or configured by Administrators and non-Administrators alike.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</si>
  <si>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"49.16 (L1) Ensure 'Microsoft network server: Digitally sign communications (if client agrees)' is set to 'Enabled': [PASSED]"
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
Note: Enable this policy setting on SMB clients on your network to make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server: Digitally sign communications (if client agrees)
Impact:
The Microsoft network server will negotiate SMB packet signing as requested by the client. That is, if packet signing has been enabled on the client, packet signing will be negotiated.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</si>
  <si>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"81.40 (L1) Ensure 'Xbox Live Auth Manager (XblAuthManager)' is set to 'Disabled': [PASSED]"
Provides authentication and authorization services for interacting with Xbox Live.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Live Auth Manager
Impact:
Connections to Xbox Live may fail and applications that interact with that service may also fail.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</si>
  <si>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"49.30 (L1) Ensure 'User Account Control: Detect application installations and prompt for elevation' is set to 'Enabled': [PASSED]"
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
Solution:
To establish the recommended configuration via configuration profiles, set the following Settings Catalog path to Enabled :
Local Policies 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
See Also:
https://workbench.cisecurity.org/benchmarks/21719
Reference:
800-171|3.1.5, 800-171r3|03.01.05a., 800-53|AC-6(8), 800-53r5|AC-6(8),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</si>
  <si>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"101.1 (L1) Ensure 'Allow Clipboard Redirection' is set to 'Not allowed': [PASSED]"
This policy setting enables or disables clipboard sharing with the Windows Sandbox.
The recommended state for this setting is: Not allowed
Note: The Windows Sandbox feature was first introduced in Windows 10 R1903, and allows a temporary 'clean install' virtual instance of Windows to be run inside the host, for the ostensible purpose of testing applications without making changes to the host.
Disabling copy and paste decreases the attack surface exposed by the Windows Sandbox and possible exposure of untrusted applications to the internal network.
Solution:
To establish the recommended configuration via configuration profiles, set the following Settings Catalog path to Not allowed
Windows Sandbox\Allow Clipboard Redirection
Impact:
The copy and paste function to/from the Windows Sandbox will be disabled. Therefore, files will not be able to be moved to/from the Windows Sandbox via the clipboard.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</si>
  <si>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"22.10 (L1) Ensure 'ASR: Block credential stealing from the Windows local security authority subsystem' is set to 'Block': [PASSED]"
This rule helps prevent credential stealing by locking down Local Security Authority Subsystem Service (LSASS).
LSASS authenticates users who sign in on a Windows computer. Microsoft Defender Credential Guard in Windows normally prevents attempts to extract credentials from LSASS. Some organizations can't enable Credential Guard on all of their computers because of compatibility issues with custom smartcard drivers or other programs that load into the Local Security Authority (LSA). In these cases, attackers can use tools like Mimikatz to scrape cleartext passwords and NTLM hashes from LSASS.
Note: Enabling this rule doesn't provide additional protection if you have LSA protection enabled since the ASR rule and LSA protection work similarly. However, when LSA protection cannot be enabled, this rule can be configured to provide equivalent protection against malware that target lsass.exe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credential stealing from the Windows local security authority subsystem
Impact:
When a rule is triggered, a notification will be displayed from the Action Center.
See Also:
https://workbench.cisecurity.org/benchmarks/21719
Reference:
800-53|SI-16, 800-53r5|SI-16, CSCv7|8.3, CSCv8|10.5, CSF2.0|PR.DS-10, GDPR|32.1.b, HIPAA|164.306(a)(1), ITSG-33|SI-16, LEVEL|1A
Policy Value:
'\b(?i)9e6c4e1f-7d60-472f-ba1a-a39ef669e4b2=1\b'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</si>
  <si>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"49.6 (L1) Ensure 'Interactive logon: Do not display last signed-in' is set to 'Enabled': [FAILED]"
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
The recommended state for this setting is: Enabled
Warning: If the
Self Service Password Reset (SSPR)
feature is used in Microsoft Entra ID, an exception to this recommendation is needed as it's known to interfere with SSPR.
Warning #2: If the
Windows passwordless experience
feature is used, an exception to this recommendation is needed as it prevents this feature from working.
An attacker with access to the console (for example, someone with physical access or someone who is able to connect to the server through Remote Desktop Services) could view the name of the last user who logged on to the server. The attacker could then try to guess the password, use a dictionary, or use a brute-force attack to try and log on.
Solution:
To establish the recommended configuration via configuration profiles, set the following Settings Catalog path to Enabled :
Local Policies Security Options\Interactive logon: Don't display last signed-in
Note: In older versions of Microsoft Windows, this setting was named
Interactive logon: Do not display last user name
, but it was renamed starting with Windows 10 Release 1703.
Impact:
The name of the last user to successfully log on will not be displayed in the Windows logon screen.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1
Actual Value:
0</t>
  </si>
  <si>
    <t>"4.11.8.2 (L1) Ensure 'Enumerate administrator accounts on elevation' is set to 'Disabled': [PASSED]"
This policy setting controls whether administrator accounts are displayed when a user attempts to elevate a running application.
The recommended state for this setting is: Disabled
Users could see the list of administrator accounts, making it slightly easier for a malicious user who has logged onto a console session to try to crack the passwords of those accounts.
Solution:
To establish the recommended configuration via configuration profiles, set the following Settings Catalog path to Disabled
Administrative Templates\Windows Components\Credential User Interface\Enumerate administrator accounts on elevation
Impact:
None - this is the default behavior.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</si>
  <si>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"89.9 (L1) Ensure 'Create Permanent Shared Objects' is set to 'No One': [PASSED]"
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
Solution:
To establish the recommended configuration via configuration profiles, set the following Settings Catalog path to (&lt;![CDATA[]]&gt;) which equals No One
User Rights\Create Permanent Shared Objects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</si>
  <si>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"38.13 (L1) Ensure 'Enable Private Network Firewall: Log File Path' is set to '%SystemRoot%\System32\logfiles\firewall\privatefw.log': [PASSED]"
Use this option to specify the path and name of the file in which Windows Firewall will write its log information.
The recommended state for this setting is: %SystemRoot%\System32\logfiles\firewall\privatefw.log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configuration profiles, set the following Settings Catalog path to %SystemRoot%\System32\logfiles\firewall\privatefw.log :
Firewall\Enable Private Network Firewall: Log File Path
Impact:
The log file will be stored in the specified file.
See Also:
https://workbench.cisecurity.org/benchmarks/21719
Reference:
800-171|3.3.1, 800-171|3.3.2, 800-171|3.3.6, 800-171r3|03.03.01, 800-171r3|03.03.03, 800-171r3|03.03.06a., 800-53|AU-2, 800-53|AU-7, 800-53|AU-12, 800-53r5|AU-2, 800-53r5|AU-7, 800-53r5|AU-12, CN-L3|7.1.2.3(c), CN-L3|8.1.4.3(a), CSCv7|6.3, CSCv7|9.4, CSCv8|8.2, CSF|DE.CM-1, CSF|DE.CM-3, CSF|DE.CM-7, CSF|PR.PT-1, CSF|RS.AN-3, CSF2.0|DE.CM-01, CSF2.0|DE.CM-03, CSF2.0|DE.CM-09, CSF2.0|PR.PS-04, CSF2.0|RS.AN-03, CSF2.0|RS.AN-06, CSF2.0|RS.AN-07, GDPR|32.1.b, HIPAA|164.306(a)(1), HIPAA|164.312(b), ISO-27001-2022|A.8.15, ITSG-33|AU-2, ITSG-33|AU-7, ITSG-33|AU-12, LEVEL|1A, NESA|M1.2.2, NESA|M5.5.1, NIAv2|AM7, NIAv2|AM11a, NIAv2|AM11b, NIAv2|AM11c, NIAv2|AM11d, NIAv2|AM11e, NIAv2|SS30, NIAv2|VL8, PCI-DSSv3.2.1|10.1, QCSC-v1|3.2, QCSC-v1|6.2, QCSC-v1|8.2.1, QCSC-v1|10.2.1, QCSC-v1|11.2, QCSC-v1|13.2, SWIFT-CSCv1|6.4
Policy Value:
'%SystemRoot%\System32\logfiles\firewall\privatefw.log'
Actual Value:
'%SystemRoot%\System32\logfiles\firewall\privatefw.log'</t>
  </si>
  <si>
    <t>"38.8 (L1) Ensure 'Enable Private Network Firewall' is set to 'True': [PASSED]"
Select True (recommended) to have Windows Firewall with Advanced Security use the settings for this profile to filter network traffic. If you select False, Windows Firewall with Advanced Security will not use any of the firewall rules or connection security rules for this profile.
The recommended state for this setting is: True (recommended)
If the firewall is turned off all traffic will be able to access the system and an attacker may be more easily able to remotely exploit a weakness in a network service.
Solution:
To establish the recommended configuration via configuration profiles, set the following Settings Catalog path to True (recommended) :
Firewall\Enable Private Network Firewall
Impact:
None - this is the default behavior.
See Also:
https://workbench.cisecurity.org/benchmarks/21719
Reference:
800-171|3.13.1, 800-171|3.13.5, 800-171|3.13.6, 800-171r3|03.13.01, 800-171r3|03.13.06, 800-53|SC-7, 800-53|SC-7(5), 800-53r5|SC-7, 800-53r5|SC-7(5), CN-L3|7.1.2.2(c), CN-L3|8.1.10.6(j), CSCv7|9.4,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</si>
  <si>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"89.20 (L1) Ensure 'Impersonate Client' is set to 'Administrators, LOCAL SERVICE, NETWORK SERVICE, SERVICE': [PASSED]"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Services that are started by the Service Control Manager have the built-in Service group added by default to their access tokens. COM servers that are started by the COM infrastructure and configured to run under a specific account also have the Service group added to their access tokens. As a result, these processes are assigned this user right when they are started.
Also, a user can impersonate an access token if any of the following conditions exist:
 - The access token that is being impersonated is for this user.
 - The user, in this logon session, logged on to the network with explicit credentials to create the access token.
 - The requested level is less than Impersonate, such as Anonymous or Identify.
An attacker with the Impersonate a client after authentication user right could create a service, trick a client to make them connect to the service, and then impersonate that client to elevate the attacker's level of access to that of the client.
The recommended state for this setting is: *S-1-5-32-544 *S-1-5-19 *S-1-5-20 and *S-1-5-6 (Administrators, LOCAL SERVICE, NETWORK SERVICE, SERVICE).
Note: This user right is considered a 'sensitive privilege' for the purposes of auditing.
An attacker with the Impersonate a client after authentication user right could create a service, trick a client to make them connect to the service, and then impersonate that client to elevate the attacker's level of access to that of the client.
Solution:
To establish the recommended configuration via configuration profiles, set the following Settings Catalog path to *S-1-5-32-544 *S-1-5-19 *S-1-5-20 and *S-1-5-6 (Administrators, LOCAL SERVICE, NETWORK SERVICE, SERVICE).
User Rights\Impersonate Client
Note: Include only one User or Group per line in the Settings Catalog configuration screen.
Impact:
In most cases this configuration will have no impact. If you have installed
Web Server (IIS)
, you will need to also assign the user right to IIS_IUSRS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'LOCAL SERVICE' &amp;&amp; 'NETWORK SERVICE' &amp;&amp; 'SERVICE'
Actual Value:
'service' &amp;&amp; 'administrators' &amp;&amp; 'network service' &amp;&amp; 'local service'</t>
  </si>
  <si>
    <t>"89.22 (L1) Ensure 'Load Unload Device Drivers' is set to 'Administrators': [PASSED]"
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
The recommended state for this setting is: *S-1-5-32-544 (Administrators).
Note: This user right is considered a 'sensitive privilege' for the purposes of auditing.
Device drivers run as highly privileged code. A user who has the Load and unload device drivers user right could unintentionally install malicious code that masquerades as a device driver. Administrators should exercise greater care and install only drivers with verified digital signatures.
Solution:
To establish the recommended configuration via configuration profiles, set the following Settings Catalog path to *S-1-5-32-544 (Administrators).
User Rights\Load Unload Device Drivers
Note: Include only one User or Group per line in the Settings Catalog configuration screen.
Impact:
If you remove the Load and unload device drivers user right from the Print Operators group or other accounts you could limit the abilities of users who are assigned to specific administrative roles in your environment. You should ensure that delegated tasks will not be negatively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</si>
  <si>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"81.32 (L1) Ensure 'Windows Media Player Network Sharing Service (WMPNetworkSvc)' is set to 'Disabled' or 'Not Installed': [PASSED]"
Shares Windows Media Player libraries to other networked players and media devices using Universal Plug and Play.
The recommended state for this setting is: Disabled or Not Installed
Network sharing of media from Media Player has no place in an enterprise managed environment.
Solution:
To establish the recommended configuration, set the following Custom Configuration Policy to 4 or confirm that the service is Not installed :
Name:  &lt;Enter name&gt;
Description: &lt;Enter Description&gt;
OMA-URI:
 ./Device/Vendor/MSFT/Policy/Config/SystemServices/ConfigureWindowsMediaPlayerNetworkSharingServiceStartupMode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WMPNetworkSvc -StartupType Disabled
Impact:
Windows Media Player libraries will not be shared over the network to other devices and systems.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</si>
  <si>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"22.29 (L1) Ensure 'PUA Protection' is set to 'PUA Protection on': [PASSED]"
This policy setting controls detection and action for Potentially Unwanted Applications (PUA), which are sneaky unwanted application bundlers or their bundled applications, that can deliver adware or malware.
The recommended state for this setting is: PUA Protection on
For more information, see this link:
Block potentially unwanted applications with Microsoft Defender Antivirus | Microsoft Docs
Potentially unwanted applications can increase the risk of your network being infected with malware, cause malware infections to be harder to identify, and can waste IT resources in cleaning up the applications. They should be blocked from installation.
Solution:
To establish the recommended configuration via GP, set the following UI path to PUA Protection on :
Defender\PUA Protection
Impact:
Applications that are identified by Microsoft as PUA will be blocked at download and install time.
See Also:
https://workbench.cisecurity.org/benchmarks/21719
Reference:
800-171|3.14.2, 800-171|3.14.4, 800-171|3.14.5, 800-171r3|03.14.02, 800-53|SI-3, 800-53r5|SI-3, CN-L3|7.1.3.6(b), CN-L3|8.1.4.5, CN-L3|8.1.9.6(a), CN-L3|8.1.9.6(b), CN-L3|8.1.10.5(b), CN-L3|8.1.10.7(a), CN-L3|8.1.10.7(b), CSCv7|2.7,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</si>
  <si>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"80.3 (L1) Ensure 'Allow Telemetry' is set to 'Basic': [PASSED]"
This policy setting determines the amount of diagnostic and usage data reported to Microsoft:
The recommended state for this setting is: Basic or Security
Note: If your organization relies on Windows Update, the minimum recommended setting is Required diagnostic data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
Sending any data to a third-party vendor is a security concern and should only be done on an as needed basis.
Solution:
To establish the recommended configuration via configuration profiles, set the following Settings Catalog path to Basic or Security :
System\Allow Telemetry
Impact:
Note that setting values of 0 or 1 will degrade certain experiences on the device.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0 || 1
Actual Value:
1</t>
  </si>
  <si>
    <t>"89.19 (L1) Ensure 'Generate Security Audits' is set to 'LOCAL SERVICE, NETWORK SERVICE': [PASSED]"
This policy setting determines which users or processes can generate audit records in the Security log.
The recommended state for this setting is: *S-1-5-19 and *S-1-5-20 (LOCAL SERVICE, NETWORK SERVICE).
Note: This user right is considered a 'sensitive privilege' for the purposes of auditing.
An attacker could use this capability to create a large number of audited events, which would make it more difficult for a system administrator to locate any illicit activity. Also, if the event log is configured to overwrite events as needed, any evidence of unauthorized activities could be overwritten by a large number of unrelated events.
Solution:
To establish the recommended configuration via configuration profiles, set the following Settings Catalog path to *S-1-5-19 and *S-1-5-20 (LOCAL SERVICE, NETWORK SERVICE).
User Rights\Generate security audits
Note: Include only one User or Group per line in the Settings Catalog configuration screen.
Impact:
On most computers, this is the default configuration and there will be no negative impact. However, if you have installed
Web Server (IIS)
, you will need to allow the IIS application pool(s) to be granted this user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CSCv7|6.2,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'LOCAL SERVICE' &amp;&amp; 'NETWORK SERVICE'
Actual Value:
'network service' &amp;&amp; 'local service'</t>
  </si>
  <si>
    <t>"4.11.42.1 (L1) Ensure 'Turn off the offer to update to the latest version of Windows' is set to 'Enabled': [PASSED]"
Enables or disables the Microsoft Store offer to update to the latest version of Windows.
The recommended state for this setting is: Enabled
Unplanned OS upgrades can lead to more preventable support calls. The IT department should be managing and approving all upgrades and updates.
Solution:
To establish the recommended configuration via configuration profiles, set the following Settings Catalog path to Enabled
Administrative Templates\Windows Components\Store\Turn off the offer to update to the latest version of Windows
Impact:
The Microsoft Store application will not offer updates to the latest version of Windows.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</si>
  <si>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"4.11.10.1 (L1) Ensure 'Enable App Installer Experimental Features' is set to 'Disabled': [PASSED]"
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
Solution:
To establish the recommended configuration via configuration profiles, set the following Settings Catalog path to Disabled :
Administrative Templates\Windows Components\Desktop App Installer\Enable App Installer Experimental Features
Impact:
Users will not have access to experimental features in the command line tool, winget to discover, install, upgrade, remove, configure, or distribute applications.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</si>
  <si>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"103.2 (L1) Ensure 'Defer Feature Updates Period in Days' is set to 'Enabled: 180 or more days': [PASSED]"
This policy setting determines when Preview Build or Feature Updates are received.
Defer Updates This enables devices to defer taking the next Feature Update available to your channel for up to 14 days for all the pre-release channels and up to 365 days for the Semi-Annual Channel. Or, if the device is updating from the Semi-Annual Channel, a version for the device to move to and/or stay on until the policy is updated or the device reaches end of service can be specified. Note: If you set both policies, the version specified will take precedence and the deferrals will not be in effect. Please see the Windows Release Information page for OS version information.
Pause Updates To prevent Feature Updates from being received on their scheduled time, you can temporarily pause Feature Updates. The pause will remain in effect for 35 days from the specified start date or until the field is cleared (Quality Updates will still be offered).
Note: If the 'Allow Diagnostic Data' (formerly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
Note #3: Prior to Windows 10 R1703, values above 180 days are not recognized by the OS. Starting with Windows 10 R1703, the maximum number of days you can defer is 365 days.
In a production environment, it is preferred to only use software and features that are publicly available, after they have gone through rigorous testing in beta.
Solution:
To establish the recommended configuration via configuration profiles, set the following Settings Catalog path to Enabled: 180 or more days
Windows Update for Business\Defer Feature Updates Period in Days
Impact:
Feature Updates will be delayed until they are publicly released to general public by Microsoft.
See Also:
https://workbench.cisecurity.org/benchmarks/21719
Reference:
800-171|3.11.2, 800-171|3.11.3, 800-171|3.14.1, 800-171r3|03.11.02, 800-171r3|03.14.01, 800-53|RA-5, 800-53|SI-2, 800-53|SI-2(2), 800-53r5|RA-5, 800-53r5|RA-7, 800-53r5|SI-2, 800-53r5|SI-2(2), CN-L3|8.1.4.4(e), CN-L3|8.1.10.5(a), CN-L3|8.1.10.5(b), CN-L3|8.5.4.1(b), CN-L3|8.5.4.1(d), CN-L3|8.5.4.1(e), CSCv7|2.4,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[180..4294967295]
Actual Value:
180</t>
  </si>
  <si>
    <t>"49.31 (L1) Ensure 'User Account Control: Only elevate UIAccess applications that are installed in secure locations' is set to 'Enabled': [PASSED]"
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
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
Solution:
To establish the recommended configuration via configuration profiles, set the following Settings Catalog path to Enabled :
Local Policies Security Options\User Account Control: Only elevate UIAccess applications that are installed in secure locations
Impact:
None - this is the default behavior.
See Also:
https://workbench.cisecurity.org/benchmarks/21719
Reference:
800-171|3.1.5, 800-171r3|03.01.05a., 800-53|AC-6(8), 800-53r5|AC-6(8),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</si>
  <si>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"81.24 (L1) Ensure 'Simple TCP/IP Services (simptcp)' is set to 'Disabled' or 'Not Installed': [PASSED]"
Supports the following TCP/IP services: Character Generator, Daytime, Discard, Echo, and Quote of the Day.
The recommended state for this setting is: Disabled or Not Installed
Note: This service is not installed by default. It is supplied with Windows, but is installed by enabling an optional Windows feature (
Simple TCPIP services (i.e. echo, daytime etc)
).
The Simple TCP/IP Services have very little purpose in a modern enterprise environment - allowing them might increase exposure and risk for attack.
Solution:
To establish the recommended configuration, set the following Custom Configuration Policy to 4 or confirm that the service is Not installed :
Name:  &lt;Enter name&gt;
Description: &lt;Enter Description&gt;
OMA-URI: ./Device/Vendor/MSFT/Policy/Config/SystemServices/ConfigureSimpleTCPIPServicesStartupMode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simptcp -StartupType Disabled
Impact:
The Simple TCP/IP services (Character Generator, Daytime, Discard, Echo and Quote of the Day) will not be available.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</si>
  <si>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"81.20 (L1) Ensure 'Remote Procedure Call (RPC) Locator (RpcLocator)' is set to 'Disabled': [PASSED]"
In Windows 2003 and older versions of Windows, the Remote Procedure Call (RPC) Locator service manages the RPC name service database. In Windows Vista or newer versions of Windows, this service does not provide any functionality and is present for application compatibility.
The recommended state for this setting is: Disabled
This is a legacy service that has no value or purpose other than application compatibility for very old software. It should be disabled unless there is a specific old application still in use on the system that requires it.
Solution:
To establish the recommended configuration, set the following Custom Configuration Policy to 4 :
Name:  &lt;Enter name&gt;
Description: &lt;Enter Description&gt;
OMA-URI: ./Device/Vendor/MSFT/Policy/Config/SystemServices/ConfigureRemoteProcedureCallLocatorServiceStartupMode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RpcLocator -StartupType Disabled
Impact:
No impact, unless an old, legacy application requires it.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</si>
  <si>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"4.6.18.2 (L1) Ensure 'Prohibit connection to non-domain networks when connected to domain authenticated network' is set to 'Enabled': [PASSED]"
This policy setting prevents computers from connecting to both a domain based network and a non-domain based network at the same time.
The recommended state for this setting is: Enabled
The potential concern is that a user would unknowingly allow network traffic to flow between the insecure public network and the enterprise managed network.
Solution:
To establish the recommended configuration via configuration profiles, set the following Settings Catalog path to Enabled
Administrative Templates\Network\Windows Connection Manager\Prohibit connection to non-domain networks when connected to domain authenticated network
Impact: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
See Also:
https://workbench.cisecurity.org/benchmarks/21719
Reference:
800-171|3.13.1, 800-171|3.13.5, 800-171r3|03.13.01, 800-53|SC-7, 800-53r5|SC-7, CN-L3|8.1.10.6(j), CSCv7|12.4, CSF|DE.CM-1, CSF|PR.AC-5, CSF|PR.DS-5, CSF|PR.PT-4, CSF2.0|DE.CM-01, CSF2.0|PR.DS-01, CSF2.0|PR.DS-02, CSF2.0|PR.DS-10, CSF2.0|PR.IR-01, GDPR|32.1.b, HIPAA|164.306(a)(1), ISO-27001-2022|A.5.14, ISO-27001-2022|A.8.16, ISO-27001-2022|A.8.20, ISO/IEC-27001|A.13.1.3, ITSG-33|SC-7, LEVEL|1A, NESA|T4.5.4, NIAv2|GS1, NIAv2|GS2a, NIAv2|GS2b, PCI-DSSv3.2.1|1.1, PCI-DSSv3.2.1|1.2, PCI-DSSv3.2.1|1.2.1, PCI-DSSv3.2.1|1.3, PCI-DSSv4.0|1.2.1, PCI-DSSv4.0|1.4.1, QCSC-v1|5.2.1, QCSC-v1|5.2.2, QCSC-v1|6.2, QCSC-v1|8.2.1, TBA-FIISB|43.1
Policy Value:
1
Actual Value:
1</t>
  </si>
  <si>
    <t>"4.11.5.2 (L1) Ensure 'Notify antivirus programs when opening attachments (User)' is set to 'Enabled': [PASSED]"
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
Solution:
To establish the recommended configuration via configuration profiles, set the following Settings Catalog path to Enabled
Administrative Templates\Windows Components\Attachment Manager\Notify antivirus programs when opening attachments (User)
Impact:
Windows tells the registered antivirus program(s) to scan the file when a user opens a file attachment. If the antivirus program fails, the attachment is blocked from being opened.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3
Actual Value:
Compliant items:</t>
  </si>
  <si>
    <t>"34.4 (L1) Ensure 'Disable Consumer Account State Content' is set to 'Enabled': [PASSED]"
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
Solution:
To establish the recommended configuration via configuration profiles, set the following Settings Catalog path to Enabled :
Experience\Disable Consumer Account State Content
Impact:
Users will not be able to use Microsoft consumer accounts on the system, and associated Windows experiences will instead present default fallback content.
See Also:
https://workbench.cisecurity.org/benchmarks/21719
Reference:
800-171|3.1.1, 800-171r3|03.01.01, 800-53|AC-2(1), 800-53r5|AC-2(1), CN-L3|7.1.3.2(d), CSCv8|5.6, CSF|PR.AC-1, CSF|PR.AC-4, CSF2.0|DE.CM-01, CSF2.0|DE.CM-03, CSF2.0|PR.AA-01, CSF2.0|PR.AA-05, CSF2.0|PR.DS-10, GDPR|32.1.b, HIPAA|164.306(a)(1), HIPAA|164.312(a)(1), ISO-27001-2022|A.5.16, ISO-27001-2022|A.5.18, ISO-27001-2022|A.8.2, ISO/IEC-27001|A.9.2.1, ITSG-33|AC-2(1), LEVEL|1A, NIAv2|AM28, NIAv2|NS5j, NIAv2|SS14e, QCSC-v1|5.2.2, QCSC-v1|8.2.1, QCSC-v1|13.2, QCSC-v1|15.2
Policy Value:
1
Actual Value:
1</t>
  </si>
  <si>
    <t>"6.17 (L1) Ensure 'Detailed Tracking Audit Process Creation' is set to include 'Success': [PASSED]"
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for the most recent information about this setting.
The recommended state for this setting is to include: Success
Auditing these events may be useful when investigating a security incident.
Solution:
To establish the recommended configuration via configuration profiles, set the following Settings Catalog path to Success
Auditing\Detailed Tracking Audit Process Creation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</si>
  <si>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"49.13 (L1) Ensure 'Microsoft network client: Digitally sign communications (if server agrees)' is set to 'Enabled': [PASSED]"
This policy setting determines whether the SMB client will attempt to negotiate SMB packet signing.
Note: Enabling this policy setting on SMB clients on your network makes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client: Digitally sign communications (if server agrees)
Impact:
None - this is the default behavior.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</si>
  <si>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"4.10.26.2 (L1) Ensure 'Do not display network selection UI' is set to 'Enabled': [PASSED]"
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
Solution:
To establish the recommended configuration via configuration profiles, set the following Settings Catalog path to Enabled
Administrative Templates\System\Logon\Do not display network selection UI
Impact:
The PC's network connectivity state cannot be changed without signing into Windows.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</si>
  <si>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"4.7.3 (L1) Ensure 'Configure RPC connection settings: Protocol to use for outgoing RPC connections' is set to 'Enabled: RPC over TCP': [PASSED]"
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
Solution:
To establish the recommended configuration via configuration profiles, set the following Settings Catalog path to Enabled: RPC over TCP :
Administrative Templates\Printers\Configure RPC connection settings: Protocol to use for outgoing RPC connections
Impact:
Warning: Many existing print configurations may be using the older named pipes protocol and therefore will cease to function.
See Also:
https://workbench.cisecurity.org/benchmarks/21719
Reference:
800-171|3.4.2, 800-171r3|03.04.02a., 800-53|CM-6b., 800-53r5|CM-6b., CN-L3|8.1.10.6(d), CSF|PR.IP-1, CSF2.0|DE.CM-09, CSF2.0|PR.PS-01, GDPR|32.1.b, HIPAA|164.306(a)(1), ISO-27001-2022|A.8.9, ITSG-33|CM-6b., LEVEL|1A, NESA|T3.2.1, SWIFT-CSCv1|2.3
Policy Value:
0
Actual Value:
0</t>
  </si>
  <si>
    <t>"80.6 (L1) Ensure 'Enable OneSettings Auditing' is set to 'Enabled': [PASSED]"
This policy setting controls whether Windows records attempts to connect with the OneSettings service to the Event Log.
The recommended state for this setting is: Enabled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
System\Enable OneSettings Auditing
Impact:
Windows will record attempts to connect with the OneSettings service to the Applications and Services Logs\Microsoft\Windows\Privacy-Auditing\Operational Event Log channel.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1
Actual Value:
1</t>
  </si>
  <si>
    <t>"24.4 (L1) Ensure 'Require Platform Security Features' is set to 'Turns on VBS with Secure Boot' or higher: [PASSED]"
This policy setting specifies whether Virtualization Based Security (VBS) is enabled. VBS uses the Windows Hypervisor to provide support for security services.
The recommended state for this setting is: Turns on VBS with Secure Boot or Turns on VBS with Secure Boot and direct memory access (DMA). DMA requires hardware support
Note: VBS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Secure Boot can help reduce the risk of bootloader attacks and in conjunction with DMA protections to help protect data from being scraped from memory.
Solution:
To establish the recommended configuration via configuration profiles, set the following Settings Catalog path to Turns on VBS with Secure Boot or Turns on VBS with Secure Boot and direct memory access (DMA). DMA requires hardware support :
Device Guard\Require Platform Security Features
Impact:
Choosing the Secure Boot option provides the system with as much protection as is supported by the computer's hardware. A system with input/output memory management units (IOMMUs) will have Secure Boot with DMA protection. A system without IOMMUs will simply have Secure Boot enabled without DMA protection.
Choosing the Secure Boot with DMA protection option requires the system to have IOMMUs in order to enable VBS. Without IOMMU hardware support, VBS will be disabled.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See Also:
https://workbench.cisecurity.org/benchmarks/21719
Reference:
800-53|SI-16, 800-53r5|SI-16, CSCv7|8.3, CSCv8|10.5, CSF2.0|PR.DS-10, GDPR|32.1.b, HIPAA|164.306(a)(1), ITSG-33|SI-16, LEVEL|1A
Policy Value:
3 || 1
Actual Value:
3</t>
  </si>
  <si>
    <t>"79.1 (L1) Ensure 'Enable Sudo' is set to 'Sudo is disabled': [PASSED]"
This policy setting configures the use of the sudo.exe command line tool. The sudo feature in Windows allows users to run elevated commands (as an administrator) directly from an unelevated console session.
The recommended state for this setting is: Sudo is disabled
Sudo for Windows could be exploited for escalation of privilege and spoofing attacks by a malicious actor. For example, in October 2024,
CVE-2024-43571
(spoofing vulnerability) was created by Microsoft.
Solution:
To establish the recommended configuration via configuration profiles, set the following Settings Catalog path to Sudo is disabled
Sudo\Enable Sudo
Impact:
The sudo.exe command line tool will not be available on the system.
See Also:
https://workbench.cisecurity.org/benchmarks/21719
Reference:
800-171|3.4.6, 800-171|3.4.7, 800-171r3|03.04.06b., 800-53|CM-7b., 800-53r5|CM-7b., CN-L3|7.1.3.5(c), CN-L3|7.1.3.7(d), CN-L3|8.1.4.4(b), CSF|PR.IP-1, CSF|PR.PT-3, CSF2.0|PR.PS-01, GDPR|32.1.b, HIPAA|164.306(a)(1), ITSG-33|CM-7a., LEVEL|1A, NIAv2|SS13b, NIAv2|SS14a, NIAv2|SS14c, PCI-DSSv3.2.1|2.2.2, PCI-DSSv4.0|2.2.4, QCSC-v1|3.2, SWIFT-CSCv1|2.3
Policy Value:
0
Actual Value:
0</t>
  </si>
  <si>
    <t>"4.11.36.4.9.2 (L1) Ensure 'Require secure RPC communication' is set to 'Enabled': [PASSED]"
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
Solution:
To establish the recommended configuration via configuration profiles, set the following Settings Catalog path to Enabled
Administrative Templates\Windows Components\Remote Desktop Services\Remote Desktop Session Host\Security\Require secure RPC communication
Impact:
Remote Desktop Services accepts requests from RPC clients that support secure requests, and does not allow unsecured communication with untrusted clients.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</si>
  <si>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"49.33 (L1) Ensure 'User Account Control: Switch to the secure desktop when prompting for elevation' is set to 'Enabled': [PASSED]"
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
Solution:
To establish the recommended configuration via configuration profiles, set the following Settings Catalog path to Enabled :
Local Policies Security Options\User Account Control: Switch to the secure desktop when prompting for elevation
Impact:
None - this is the default behavior.
See Also:
https://workbench.cisecurity.org/benchmarks/21719
Reference:
800-171|3.1.5, 800-171r3|03.01.05b., 800-53|AC-6(1), 800-53r5|AC-6(1), CN-L3|7.1.3.2(b), CN-L3|7.1.3.2(g), CN-L3|8.1.4.2(d), CN-L3|8.1.10.6(a), CSF|PR.AC-4, CSF2.0|PR.AA-05, GDPR|32.1.b, HIPAA|164.306(a)(1), HIPAA|164.312(a)(1), ISO-27001-2022|A.5.15, ISO-27001-2022|A.8.2, ISO-27001-2022|A.8.18, ISO/IEC-27001|A.9.4.4, ITSG-33|AC-6(1), LEVEL|1A, NESA|T5.1.1, NESA|T5.4.4, NESA|T5.5.4, NESA|T5.6.1, NESA|T7.5.3, NIAv2|AM31, NIAv2|GS3, NIAv2|GS4, NIAv2|GS8c, NIAv2|VL3b, PCI-DSSv3.2.1|7.1.2, PCI-DSSv4.0|7.2.1, PCI-DSSv4.0|7.2.2, QCSC-v1|5.2.2, QCSC-v1|6.2, SWIFT-CSCv1|5.1, TBA-FIISB|31.4.2, TBA-FIISB|31.4.3
Policy Value:
1
Actual Value:
1</t>
  </si>
  <si>
    <t>"81.13 (L1) Ensure 'OpenSSH SSH Server (sshd)' is set to 'Disabled' or 'Not Installed': [PASSED]"
SSH protocol based service to provide secure encrypted communications between two untrusted hosts over an insecure network.
The recommended state for this setting is: Disabled or Not Installed
Note: This service is not installed by default. It is supplied with Windows, but it is installed by enabling an optional Windows feature (
OpenSSH Server
).
Hosting an SSH server from a workstation is an increased security risk, as the attack surface of that workstation is then greatly increased.
Note: This security concern applies to
any
SSH server application installed on a workstation, not just the one supplied with Windows.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sshd -StartupType Disabled
Impact:
The workstation will not be permitted to be a SSH host server.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</si>
  <si>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"38.12 (L1) Ensure 'Enable Private Network Firewall: Enable Log Dropped Packets' is set to 'Yes: Enable Logging Of Dropped Packets': [PASSED]"
Use this option to log when Windows Firewall with Advanced Security discards an inbound packet for any reason. The log records why and when the packet was dropped. Look for entries with the word DROP in the action column of the log.
The recommended state for this setting is: Enable Logging Of Dropped Packets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Dropped Packets :
Firewall\Enable Private Network Firewall: Enable Log Dropped Packets
Impact:
Information about dropped packets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</si>
  <si>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"103.1 (L1) Ensure 'Allow Auto Update' is set to 'Enabled': [FAILED]"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After this this policy setting is set to Enabled, select one of the following options in the Configure Automatic Updates Properties dialog box to specify how the service will work:
 - 2 - Auto install and restart.
 - 3 - Auto install and restart at a specified time. (Default)
 - 4 - Auto install and restart without end-user control.
The recommended state for this setting is: Enabled and never 'Turn off automatic updates'
Note: The sub-setting '
Allow Auto Update:
' has 6 possible values - not all of them are valid depending on specific organizational needs, however if feasible we suggest using a value of 2, 3, or 4 The only scored requirement is to not turn off automatic updates (5).
Note #2: Organizations that utilize a third--party solution for patching may choose to exempt themselves from this recommendation, and instead configure it to Disabled so that the native Windows Update mechanism does not interfere with the third--party patching process.
Warning: If option 3 or 4 is not selected, then the ScheduledInstallDay recommendation will not take effect and an exception to that recommendation will be needed.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
Solution:
To establish the recommended configuration via configuration profiles, set the following Settings Catalog path to anything other than 'Turn off automatic updates'.
Windows Update For Business\Allow Auto Update
Impact:
Critical operating system updates and service packs will be installed as necessary.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[2..4]
Actual Value:
5</t>
  </si>
  <si>
    <t>"4.4.2 (L1) Ensure 'Configure SMB v1 client driver' is set to 'Enabled: Disable driver (recommended)': [PASSED]"
This setting configures the start type for the Server Message Block version 1 (SMBv1) client driver service ( MRxSmb10 ), which is recommended to be disabled.
The recommended state for this setting is: Enabled: Disable driver (recommended)
Note: Do not,
under any circumstances
, configure this overall setting as Disabled as doing so will delete the underlying registry entry altogether, which will cause serious problems.
Since September 2016, Microsoft has strongly encouraged that SMBv1 be disabled and no longer used on modern networks, as it is a 30 year old design that is much more vulnerable to attacks then much newer designs such as SMBv2 and SMBv3.
More information on this can be found at the following links:
Stop using SMB1 | Storage at Microsoft
Disable SMB v1 in Managed Environments with Group Policy - 'Stay Safe' Cyber Security Blog
Disabling SMBv1 through Group Policy - Microsoft Security Guidance blog
Solution:
To establish the recommended configuration via configuration profiles, set the following Settings Catalog path to Enabled: Disable driver (recommended)
Administrative Templates\MS Security Guide\Configure SMB v1 client driver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See Also:
https://workbench.cisecurity.org/benchmarks/21719
Reference:
800-171|3.4.2, 800-171|3.4.6, 800-171|3.4.7, 800-171r3|03.04.02, 800-171r3|03.04.06, 800-53|CM-6, 800-53|CM-7, 800-53r5|CM-6, 800-53r5|CM-7, CSCv7|9.2, CSCv7|14.3, CSCv8|4.8, CSF|PR.IP-1, CSF|PR.PT-3, CSF2.0|DE.CM-09, CSF2.0|PR.PS-01, GDPR|32.1.b, HIPAA|164.306(a)(1), ISO-27001-2022|A.8.9, ITSG-33|CM-6, ITSG-33|CM-7, LEVEL|1A, NIAv2|SS15a, PCI-DSSv3.2.1|2.2.2, SWIFT-CSCv1|2.3
Policy Value:
4
Actual Value:
4</t>
  </si>
  <si>
    <t>"96.1 (L1) Ensure 'Disallow Exploit Protection Override' is set to '(Enable)': [PASSED]"
This policy setting prevent users from making changes to the Exploit protection settings area in the Windows Security settings.
The recommended state for this setting is: (Enable)
Only authorized IT staff should be able to make changes to the exploit protection settings in order to ensure the organizations specific configuration is not modified.
Solution:
To establish the recommended configuration via configuration profiles, set the following Settings Catalog path to (Enable)
Windows Defender Security Center\Disallow Exploit Protection Override
Impact:
Local users cannot make changes in the Exploit protection settings area.
See Also:
https://workbench.cisecurity.org/benchmarks/21719
Reference:
800-53|SI-16, 800-53r5|SI-16, CSCv7|8.3, CSCv8|10.5, CSF2.0|PR.DS-10, GDPR|32.1.b, HIPAA|164.306(a)(1), ITSG-33|SI-16, LEVEL|1A
Policy Value:
1
Actual Value:
1</t>
  </si>
  <si>
    <t>"4.7.8 (L1) Ensure 'Limits print driver installation to Administrators' is set to 'Enabled': [PASSED]"
This policy setting controls whether users who aren't Administrators can install print drivers on the system.
The recommended state for this setting is: Enabled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Restricting the installation of print drives to Administrators can help mitigate the PrintNightmare vulnerability (
CVE-2021-34527
) and other Print Spooler attacks.
Solution:
To establish the recommended configuration via configuration profiles, set the following Settings Catalog path to Enabled
Administrative Templates\Printers\Limits print driver installation to Administrators
Impact:
None - this is the default behavior.
See Also:
https://workbench.cisecurity.org/benchmarks/21719
Reference:
800-171|3.14.6, 800-171|3.14.7, 800-171r3|03.14.06, 800-53|SI-4, 800-53r5|SI-4, CN-L3|7.1.3.5(a), CN-L3|8.1.10.5(b), CN-L3|8.1.10.6(f), CSF|DE.AE-1, CSF|DE.AE-2, CSF|DE.AE-3, CSF|DE.AE-4, CSF|DE.CM-1, CSF|DE.CM-5, CSF|DE.CM-6, CSF|DE.CM-7, CSF|DE.DP-2, CSF|DE.DP-3, CSF|DE.DP-4, CSF|DE.DP-5, CSF|ID.RA-1, CSF|PR.DS-5, CSF|PR.IP-8, CSF|RS.AN-1, CSF|RS.CO-3, CSF2.0|DE.AE-02, CSF2.0|DE.AE-03, CSF2.0|DE.CM-01, CSF2.0|DE.CM-06, CSF2.0|DE.CM-09, CSF2.0|ID.IM-01, CSF2.0|ID.IM-02, CSF2.0|ID.IM-03, CSF2.0|ID.RA-01, CSF2.0|PR.DS-01, CSF2.0|PR.DS-02, CSF2.0|PR.DS-10, GDPR|32.1.b, HIPAA|164.306(a)(1), HIPAA|164.312(b), ISO-27001-2022|A.8.16, ITSG-33|SI-4, LEVEL|1A, NESA|M1.2.2, QCSC-v1|3.2, QCSC-v1|5.2.1, QCSC-v1|5.2.2, QCSC-v1|5.2.3, QCSC-v1|6.2, QCSC-v1|8.2.1, QCSC-v1|10.2.1, QCSC-v1|11.2
Policy Value:
1
Actual Value:
1</t>
  </si>
  <si>
    <t>"97.1 (L1) Ensure 'Enable ESS with Supported Peripherals' is set to 'Enhanced sign-in security will be enabled...': [PASSED]"
Enhanced Sign-in Security isolates Windows Hello biometric (face and fingerprint) template data and matching operations to trusted hardware or specified memory regions.
The recommended state for this setting is: ESS will be enabled on systems with capable software and hardware, following the existing default behavior in Windows. Authentication operations of any peripheral biometric device will be blocked and not available for Windows Hello. (default and recommended for highest security).
Because the channel of communication between the sensors and the algorithm is secured, it is impossible for malware to inject or replay data in order to simulate a user signing in or to lock a user out of their machine.
Solution:
To establish the recommended configuration via configuration profiles, set the following Settings Catalog path to Enhanced sign-in security will be enabled... :
Windows Hello For Business\Enable ESS with Supported Peripherals
Impact:
None - this is the default behavior.
See Also:
https://workbench.cisecurity.org/benchmarks/21719
Reference:
800-53|SI-16, 800-53r5|SI-16, CSCv7|8.3, CSCv8|10.5, CSF2.0|PR.DS-10, GDPR|32.1.b, HIPAA|164.306(a)(1), ITSG-33|SI-16, LEVEL|1A
Policy Value:
1
Actual Value:
1</t>
  </si>
  <si>
    <t>"4.11.15.1.2 (L1) Ensure 'Specify the maximum log file size (KB)' is set to 'Enabled: 32,768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32,768 or greater
Administrative Templates\Windows Components\Event Log Service\Application\Specify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[32768..4294967295]
Actual Value:
102400</t>
  </si>
  <si>
    <t>"4.10.13.1 (L1) Ensure 'Boot-Start Driver Initialization Policy' is set to 'Enabled: Good, unknown and bad but critical': [PASSED]"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
Solution:
To establish the recommended configuration via configuration profiles, set the following Settings Catalog path to Enabled: `Good, unknown and bad but critical.
Administrative Templates\System\Early Launch Antimalware\Boot-Start Driver Initialization Policy
Impact:
None - this is the default behavior.
See Also:
https://workbench.cisecurity.org/benchmarks/21719
Reference:
800-53|SI-16, 800-53r5|SI-16, CSCv7|8.3, CSCv8|10.5, CSF2.0|PR.DS-10, GDPR|32.1.b, HIPAA|164.306(a)(1), ITSG-33|SI-16, LEVEL|1A
Policy Value:
3
Actual Value:
3</t>
  </si>
  <si>
    <t>"81.7 (L1) Ensure 'IIS Admin Service (IISADMIN)' is set to 'Disabled' or 'Not Installed': [PASSED]"
Enables the server to administer the IIS metabase. The IIS metabase stores configuration for the SMTP and FTP services.
The recommended state for this setting is: Disabled or Not Installed
Note: This service is not installed by default. It is supplied with Windows, but is installed by enabling an optional Windows feature (
Internet Information Services
).
Note #2: An organization may choose to selectively grant exceptions to web developers to allow IIS (or another web server) on their workstation, in order for them to locally test &amp;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
Solution:
To establish the recommended configuration, set the following Custom Configuration Policy to 4 or confirm that the service is Not installed :
Name:  &lt;Enter name&gt;
Description: &lt;Enter Description&gt;
OMA-URI: ./Device/Vendor/MSFT/Policy/Config/SystemServices/ConfigureIISAdminServiceStartupMode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IISADMIN -StartupType Disabled
Impact:
IIS will not function, including Web, SMTP or FTP services.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</si>
  <si>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"81.8 (L1) Ensure 'Infrared monitor service (irmon)' is set to 'Disabled' or 'Not Installed': [PASSED]"
Detects other Infrared devices that are in range and launches the file transfer application.
The recommended state for this setting is: Disabled or Not Installed
Infrared connections can potentially be a source of data compromise - especially via the automatic 'file transfer application' functionality. Enterprise-managed systems should utilize a more secure method of connection than infrared.
Solution:
To establish the recommended configuration, set the following Custom Configuration Policy to 4 or confirm that the service is Not installed :
Name:  &lt;Enter name&gt;
Description: &lt;Enter Description&gt;
OMA-URI: ./Device/Vendor/MSFT/Policy/Config/SystemServices/ConfigureInfraredMonitorServiceStartupMode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irmon -StartupType Disabled
Impact:
Infrared file transfers will be prevented from working.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</si>
  <si>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"89.33 (L1) Ensure 'Restore Files And Directories' is set to 'Administrators': [PASSED]"
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
The recommended state for this setting is: *S-1-5-32-544 (Administrators).
Note: This user right is considered a 'sensitive privilege' for the purposes of auditing.
An attacker with the Restore files and directories user right could restore sensitive data to a computer and overwrite data that is more recent, which could lead to loss of important data, data corruption, or a denial of service. Attackers could overwrite executable files that are used by legitimate administrators or system services with versions that include malicious software to grant themselves elevated privileges, compromise data, or install backdoors for continued access to the computer.
Note: Even if the following countermeasure is configured, an attacker could still restore data to a computer in a domain that is controlled by the attacker. Therefore, it is critical that organizations carefully protect the media that is used to back up data.
Solution:
To establish the recommended configuration via configuration profiles, set the following Settings Catalog path to *S-1-5-32-544 (Administrators).
User Rights\Restore files and directories
Note: Include only one User or Group per line in the Settings Catalog configuration screen.
Impact:
If you remove the Restore files and directories user right from the Backup Operators group and other accounts you could make it impossible for users who have been delegated specific tasks to perform those tasks. You should verify that this change won't negatively affect the ability of your organization's personnel to do their jobs.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</si>
  <si>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"38.19 (L1) Ensure 'Enable Public Network Firewall: Disable Inbound Notifications' is set to 'True': [PASSED]"
Select this option to have Windows Firewall with Advanced Security display notifications to the user when a program is blocked from receiving inbound connections.
The recommended state for this setting is: True
Some organizations may prefer to avoid alarming users when firewall rules block certain types of network activity. However, notifications can be helpful when troubleshooting network issues involving the firewall.
Solution:
To establish the recommended configuration via configuration profiles, set the following Settings Catalog path to 'True':
Firewall\Enable Public Network Firewall: Disable Inbound Notifications
Impact:
Windows Firewall will not display a notification when a program is blocked from receiving inbound connections.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</si>
  <si>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"6.26 (L1) Ensure 'System Audit Security State Change' is set to include 'Success': [PASSED]"
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Auditing these events may be useful when investigating a security incident.
Solution:
To establish the recommended configuration via configuration profiles, set the following Settings Catalog path to Success
Auditing\System Audit Security State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</si>
  <si>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"4.5.3 (L1) Ensure 'MSS: (DisableIPSourceRouting) IP source routing protection level (protects against packet spoofing)' is set to 'Enabled: Highest protection, source routing is completely disabled': [PASSED]"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
Solution:
To establish the recommended configuration via configuration profiles, set the following Settings Catalog path to Enabled: Highest protection, source routing is completely disabled
Administrative Templates\MSS (Legacy)\MSS: (DisableIPSourceRouting) IP source routing protection level (protects against packet spoofing)
Impact:
All incoming source routed packets will be dropped.
See Also:
https://workbench.cisecurity.org/benchmarks/21719
Reference:
800-171|3.13.1, 800-171r3|03.13.01, 800-53|SC-7(12), 800-53r5|SC-7(12), CN-L3|8.1.10.6(j), CSF|DE.CM-1, CSF|PR.AC-5, CSF|PR.DS-5, CSF|PR.PT-4, CSF2.0|DE.CM-01, CSF2.0|PR.DS-01, CSF2.0|PR.DS-02, CSF2.0|PR.DS-10, CSF2.0|PR.IR-01, GDPR|32.1.b, HIPAA|164.306(a)(1), ISO-27001-2022|A.5.14, ISO-27001-2022|A.8.16, ISO-27001-2022|A.8.20, ISO/IEC-27001|A.13.1.3, ITSG-33|SC-7(12), LEVEL|1A, NESA|T4.5.4, NIAv2|AM38, NIAv2|SS13d, NIAv2|SS26, PCI-DSSv3.2.1|1.4, PCI-DSSv4.0|1.5.1, QCSC-v1|5.2.1, QCSC-v1|5.2.2, QCSC-v1|6.2, QCSC-v1|8.2.1, TBA-FIISB|43.1
Policy Value:
2
Actual Value:
2</t>
  </si>
  <si>
    <t>"6.11 (L1) Ensure 'Audit Other Logon Logoff Events' is set to 'Success and Failure': [PASSED]"
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Auditing\Audit Other Logon Logoff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</si>
  <si>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"38.10 (L1) Ensure 'Enable Private Network Firewall: Disable Inbound Notifications' is set to 'True': [PASSED]"
Select this option to have Windows Firewall with Advanced Security display notifications to the user when a program is blocked from receiving inbound connections.
The recommended state for this setting is: True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
Solution:
To establish the recommended configuration via configuration profiles, set the following Settings Catalog path to True :
Firewall\Enable Private Network Firewall: Disable Inbound Notifications
Impact:
Windows Firewall will not display a notification when a program is blocked from receiving inbound connections.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</si>
  <si>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"4.10.20.1.2 (L1) Ensure 'Turn off downloading of print drivers over HTTP' is set to 'Enabled': [PASSED]"
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
Solution:
To establish the recommended configuration via configuration profiles, set the following Settings Catalog path to Enabled
Administrative Templates\System\Internet Communication Management\Internet Communication settings\Turn off downloading of print drivers over HTTP
Impact:
Print drivers cannot be downloaded over HTTP.
Note: This policy setting does not prevent the client computer from printing to printers on the intranet or the Internet over HTTP. It only prohibits downloading drivers that are not already installed locally.
See Also:
https://workbench.cisecurity.org/benchmarks/21719
Reference:
800-171|3.4.8, 800-171r3|03.04.08, 800-53|CM-7(5), 800-53r5|CM-7(5), CSCv7|2.7, CSF|PR.IP-1, CSF|PR.PT-3, CSF2.0|PR.PS-01, GDPR|32.1.b, HIPAA|164.306(a)(1), ISO-27001-2022|A.8.19, ISO/IEC-27001|A.12.5.1, ISO/IEC-27001|A.12.6.2, ITSG-33|CM-7, LEVEL|1A, NIAv2|SS15a, PCI-DSSv3.2.1|2.2.2, QCSC-v1|3.2, SWIFT-CSCv1|2.3, TBA-FIISB|44.2.2, TBA-FIISB|49.2.3
Policy Value:
1
Actual Value:
1</t>
  </si>
  <si>
    <t>"89.21 (L1) Ensure 'Increase Scheduling Priority' is set to 'Administrators, Window Manager\Window Manager Group': [PASSED]"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*S-1-5-32-544 and *S-1-5-90-0 (Administrators, Window Manager\Window Manager Group).
A user who is assigned this user right could increase the scheduling priority of a process to Real-Time, which would leave little processing time for all other processes and could lead to a DoS condition.
Solution:
To establish the recommended configuration via configuration profiles, set the following Settings Catalog path to *S-1-5-32-544 and *S-1-5-90-0 (Administrators, Window Manager\Window Manager Group).
User Rights\Increase scheduling priority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'Window Manager Group') || ('Administrators' &amp;&amp; 'Window Manager\Window Manager Group')
Actual Value:
'window manager group' &amp;&amp; 'administrators'</t>
  </si>
  <si>
    <t>"23.1 (L1) Ensure 'DO Download Mode' is NOT set to 'HTTP blended with Internet Peering': [PASSED]"
This policy setting specifies the download method that Delivery Optimization can use in downloads of Windows Updates, Apps and App updates. The following methods are supported:
 - 0 = HTTP only, no peering.
 - 1 = HTTP blended with peering behind the same NAT.
 - 2 = HTTP blended with peering across a private group. Peering occurs on devices in the same Active Directory Site (if exist) or the same domain by default. When this option is selected, peering will cross NATs. To create a custom group use Group ID in combination with Mode 2.
 - 3 = HTTP blended with Internet Peering.
 - 99 = Simple download mode with no peering. Delivery Optimization downloads using HTTP only and does not attempt to contact the Delivery Optimization cloud services.
 - 100 = Bypass mode. Do not use Delivery Optimization and use BITS instead.
The recommended state for this setting is any value EXCEPT: Enabled: Internet (3)
Note: The default on all SKUs other than Enterprise, Enterprise LTSB or Education is Enabled: Internet (3) so on other SKUs, be sure to set this to a different value.
Due to privacy concerns and security risks, updates should only be downloaded directly from Microsoft, or from a trusted machine on the internal network that received
its
updates from a trusted source and approved by the network administrator.
Solution:
To establish the recommended configuration via configuration profiles, set the following Settings Catalog path to any value
other than
HTTP blended with Internet Peering :
Delivery Optimization\DO Download Mode
Impact:
Machines will not be able to download updates from peers on the Internet. If set to Enabled: HTTP only (0) Enabled: Simple (99) or Enabled: Bypass (100) machines will not be able to download updates from other machines on the same LAN.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0 || 1 || 2 || 99 || 100
Actual Value:
0</t>
  </si>
  <si>
    <t>"38.4 (L1) Ensure 'Enable Domain Network Firewall: Enable Log Dropped Packets' is set to 'Yes: Enable Logging Of Dropped Packets': [PASSED]"
Use this option to log when Windows Firewall with Advanced Security discards an inbound packet for any reason. The log records why and when the packet was dropped. Look for entries with the word DROP in the action column of the log.
The recommended state for this setting is: Enable Logging Of Dropped Packets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Dropped Packets :
Firewall\Enable Domain Network Firewall: Enable Log Dropped Packets
Impact:
Information about dropped packets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</si>
  <si>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"68.2 (L1) Ensure 'Allow Input Personalization' is set to 'Block': [PASSED]"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Block
If this setting is Enabled sensitive information could be stored in the cloud or sent to Microsoft.
Solution:
To establish the recommended configuration via configuration profiles, set the following Settings Catalog path to Block :
Privacy\Allow Input Personalization
Impact:
Automatic learning of speech, inking, and typing stops and users cannot change its value via PC Settings.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0
Actual Value:
0</t>
  </si>
  <si>
    <t>"49.12 (L1) Ensure 'Microsoft network client: Digitally sign communications (always)' is set to 'Enabled': [PASSED]"
This policy setting determines whether packet signing is required by the SMB client component.
Note: When Windows Vista-based computers have this policy setting enabled and they connect to file or print shares on remote servers, it is important that the setting is synchronized with its companion setting, Microsoft network server: Digitally sign communications (always) on those servers. For more information about these settings, see the 'Microsoft network client and server: Digitally sign communications (four related settings)' section in Chapter 5 of the Threats and Countermeasures guide.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client: Digitally sign communications (always)
Impact:
The Microsoft network client will not communicate with a Microsoft network server unless that server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</si>
  <si>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"22.17 (L1) Ensure 'ASR: Block Office communication application from creating child processes' is set to 'Audit' or higher: [PASSED]"
This rule prevents Outlook from creating child processes, while still allowing legitimate Outlook functions.
The recommended state for this setting is: Audit Configuring this setting to Block also conforms to the benchmark.
This ASR rule protects against social engineering attacks and prevents exploiting code from abusing vulnerabilities in Outlook. It also protects against Outlook rules and forms exploits that attackers can use when a user's credentials are compromised.
Solution:
To establish the recommended configuration via configuration profiles, set the following Settings Catalog path to Audit or Block
Defender\Block Office communication application from creating child processes
Impact:
This rule will block DLP policy tips and ToolTips in Outlook, and applies to Outlook and Outlook.com only.
See Also:
https://workbench.cisecurity.org/benchmarks/21719
Reference:
800-53|SI-16, 800-53r5|SI-16, CSCv7|8.3, CSCv8|10.5, CSF2.0|PR.DS-10, GDPR|32.1.b, HIPAA|164.306(a)(1), ITSG-33|SI-16, LEVEL|1A
Policy Value:
'\b(?i)26190899-1602-49e8-8b27-eb1d0a1ce869=(1|2)\b'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</si>
  <si>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"6.15 (L1) Ensure 'Audit User Account Management' is set to 'Success and Failure': [PASSED]"
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Auditing\Audit User Account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</si>
  <si>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"6.3 (L1) Ensure 'Account Logon Logoff Audit Group Membership' is set to include 'Success': [PASSED]"
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
Auditing these events may be useful when investigating a security incident.
Solution:
To establish the recommended configuration via configuration profiles, set the following Settings Catalog path to Success
Auditing\Account Logon Logoff Audit Group Membership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CSCv7|4.8, CSCv7|6.3, CSCv7|16.6,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</si>
  <si>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"103.5 (L1) Ensure 'Scheduled Install Day' is set to 'Every day': [PASSED]"
This policy setting specifies when computers in your environment will receive security updates from Windows Update or WSUS.
The recommended state for this setting is: Every day
Note: This setting is only applicable if the option of 3 or 4 is selected in the recommendation
'Allow Auto Update'
. It will have no impact if any other option is selected.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
Solution:
To establish the recommended configuration via configuration profiles, set the following Settings Catalog path to Every day
Windows Update For Business\Scheduled Install Day
Impact:
If option 3 or 4 is selected in recommendation
'Allow Auto Update'
, critical operating system updates and service packs will automatically download every day (at 3:00 A.M., by default).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0
Actual Value:
0</t>
  </si>
  <si>
    <t>"76.1.3 (L1) Ensure 'Notify Unsafe App' is set to 'Enabled': [PASSED]"
This policy setting determines whether Enhanced Phishing Protection in Microsoft Defender SmartScreen warns users if they type their work or school passwords in Notepad, WordPad, or M365 Office apps like OneNote, Word, Excel, etc.
The recommended state for this setting is: Enabled
Note: This setting only applies to Microsoft Accounts (computer or browser login) while using Microsoft Windows 11 and not on prem domain-joined accounts.
Users will be warned if they store their password in Notepad or Microsoft 365 Office Apps. This can help reduce the risk of security incidents, such as data theft or data loss. Storing credentials in plain text allows for anyone who has authorized or unauthorized access to the system to obtain them.
Solution:
To establish the recommended configuration via configuration profiles, set the following Settings Catalog path to Enabled :
Smart Screen\Enhanced Phishing Protection\Notify Unsafe App
Impact:
Saved passwords may be detected as false positives by Microsoft.
See Also:
https://workbench.cisecurity.org/benchmarks/21719
Reference:
800-53|SI-16, 800-53r5|SI-16, CSCv7|8.3, CSCv8|10.5, CSF2.0|PR.DS-10, GDPR|32.1.b, HIPAA|164.306(a)(1), ITSG-33|SI-16, LEVEL|1A
Policy Value:
1
Actual Value:
1</t>
  </si>
  <si>
    <t>"4.10.26.3 (L1) Ensure 'Do not enumerate connected users on domain-joined computers' is set to 'Enabled': [PASSED]"
This policy setting prevents connected users from being enumerated on domain-joined computers.
The recommended state for this setting is: Enabled
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
Solution:
To establish the recommended configuration via configuration profiles, set the following Settings Catalog path to Enabled
Administrative Templates\System\Logon\Do not enumerate connected users on domain-joined computers
Impact:
The Logon UI will not enumerate any connected users on domain-joined computers.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</si>
  <si>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"4.4.5 (L1) Ensure 'WDigest Authentication' is set to 'Disabled': [PASSED]"
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
For more information about local accounts and credential theft, review the '
Mitigating Pass-the-Hash (PtH) Attacks and Other Credential Theft Techniques
' documents.
For more information about UseLogonCredential see Microsoft Knowledge Base article 2871997:
Microsoft Security Advisory Update to improve credentials protection and management May 13, 2014
.
The recommended state for this setting is: Disabled
Preventing the plaintext storage of credentials in memory may reduce opportunity for credential theft.
Solution:
To establish the recommended configuration via configuration profiles, set the following Settings Catalog path to Disabled
Administrative Templates\MS Security Guide\WDigest Authentication (disabling may require KB2871997)
Impact:
None - this is also the default configuration for Windows 8.1 or newer.
See Also:
https://workbench.cisecurity.org/benchmarks/21719
Reference:
800-171|3.5.2, 800-171|3.13.16, 800-171r3|03.05.07, 800-171r3|03.13.08, 800-53|IA-5(1), 800-53|SC-28, 800-53|SC-28(1), 800-53r5|IA-5(1), 800-53r5|SC-28, 800-53r5|SC-28(1), CN-L3|8.1.4.7(b), CN-L3|8.1.4.8(b), CSCv7|16.4, CSCv8|3.11, CSF|PR.AC-1, CSF|PR.DS-1, CSF2.0|PR.AA-01, CSF2.0|PR.AA-03, CSF2.0|PR.DS-01, GDPR|32.1.a, GDPR|32.1.b, HIPAA|164.306(a)(1), HIPAA|164.312(a)(2)(i), HIPAA|164.312(a)(2)(iv), HIPAA|164.312(d), HIPAA|164.312(e)(2)(ii), ISO-27001-2022|A.5.10, ISO-27001-2022|A.5.16, ISO-27001-2022|A.5.17, ISO-27001-2022|A.5.33, ITSG-33|IA-5(1), ITSG-33|SC-28, ITSG-33|SC-28a., ITSG-33|SC-28(1), LEVEL|1A, NESA|T5.2.3, PCI-DSSv3.2.1|3.4, PCI-DSSv4.0|3.3.2, PCI-DSSv4.0|3.5.1, QCSC-v1|5.2.2, QCSC-v1|6.2, QCSC-v1|13.2, SWIFT-CSCv1|4.1, TBA-FIISB|28.1
Policy Value:
0
Actual Value:
0</t>
  </si>
  <si>
    <t>"89.29 (L1) Ensure 'Profile Single Process' is set to 'Administrators': [PASSED]"
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
The recommended state for this setting is: *S-1-5-32-544 (Administrators).
The Profile single process user right presents a moderate vulnerability. An attacker with this user right could monitor a computer's performance to help identify critical processes that they might wish to attack directly. The attacker may also be able to determine what processes run on the computer so that they could identify countermeasures that they may need to avoid, such as antivirus software, an intrusion-detection system, or which other users are logged on to a computer.
Solution:
To establish the recommended configuration via configuration profiles, set the following Settings Catalog path to *S-1-5-32-544 (Administrators).
User Rights\Profile single process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</si>
  <si>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"22.5 (L1) Ensure 'Allow scanning of all downloaded files and attachments' is set to 'Allowed': [PASSED]"
This policy setting configures scanning for all downloaded files and attachments.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scanning of all downloaded files and attachments
Impact:
None - this is the default behavior.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</si>
  <si>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"4.10.31.2 (L1) Ensure 'Restrict Unauthenticated RPC clients' is set to 'Enabled: Authenticated': [PASSED]"
This policy setting controls how the RPC server runtime handles unauthenticated RPC clients connecting to RPC servers.
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 ' None ' allows all RPC clients to connect to RPC Servers running on the machine on which the policy setting is applied.
-- ' Authenticated ' allows only authenticated RPC Clients (per the definition above) to connect to RPC Servers running on the machine on which the policy setting is applied. Exemptions are granted to interfaces that have requested them.
-- ' Authenticated without exceptions ' allows only authenticated RPC Clients (per the definition above) to connect to RPC Servers running on the machine on which the policy setting is applied. No exceptions are allowed. This value has the potential to cause serious problems and is not recommended.
Note: This policy setting will not be applied until the system is rebooted.
The recommended state for this setting is: Enabled: Authenticated
Unauthenticated RPC communication can create a security vulnerability.
Solution:
To establish the recommended configuration via configuration profiles, set the following Settings Catalog path to Enabled: Authenticated
Administrative Templates\System\Remote Procedure Call\Restrict Unauthenticated RPC clients
Impact:
None - this is the default behavior.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</si>
  <si>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"103.4 (L1) Ensure 'Manage preview builds' is set to 'Disable Preview builds': [PASSED]"
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 Preview builds
Note: Preview Build enrollment requires a telemetry level setting of 2 or higher and your domain registered on insider.windows.com. For additional information on Preview Builds, see:
Managing preview builds across your organization - Windows Insider Program | Microsoft Learn
.
It can be risky for experimental features to be allowed in an enterprise managed environment because this can introduce bugs and security holes into systems, making it easier for an attacker to gain access. It is generally preferred to only use production-ready builds.
Solution:
To establish the recommended configuration via configuration profiles, set the following Settings Catalog path to Disable Preview builds
Windows Update For Business\Manage preview builds
Impact:
Preview builds are prevented from installing on the device.
See Also:
https://workbench.cisecurity.org/benchmarks/21719
Reference:
800-171|3.4.8, 800-171r3|03.04.08, 800-53|CM-7(5), 800-53|CM-10, 800-53r5|CM-7(5), 800-53r5|CM-10, CSCv7|2.6, CSCv8|2.5, CSF|DE.CM-3, CSF|PR.IP-1, CSF|PR.PT-3, CSF2.0|DE.CM-03, CSF2.0|DE.CM-09, CSF2.0|PR.PS-01, GDPR|32.1.b, HIPAA|164.306(a)(1), ISO-27001-2022|A.5.32, ISO-27001-2022|A.8.19, ISO/IEC-27001|A.12.5.1, ISO/IEC-27001|A.12.6.2, ITSG-33|CM-7, LEVEL|1A, NIAv2|SS15a, PCI-DSSv3.2.1|2.2.2, QCSC-v1|3.2, QCSC-v1|8.2.1, SWIFT-CSCv1|2.3, TBA-FIISB|44.2.2, TBA-FIISB|49.2.3
Policy Value:
0
Actual Value:
0</t>
  </si>
  <si>
    <t>"76.1.4 (L1) Ensure 'Service Enabled' is set to 'Enabled': [PASSED]"
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
The recommended state for this setting is: Enabled
Note: This setting only applies to Microsoft accounts (computer or browser login) while using Microsoft Windows 11 and not on-prem domain-joined accounts.
Allowing Enhanced Phishing Protection the ability to warn users about unsafe password use could prevent phishing attempts and (credential) data loss. In addition, the Microsoft 365 Defender Portal provides valuable phishing sensor data found in the environment.
Solution:
To establish the recommended configuration via configuration profiles, set the following Settings Catalog path to Enabled :
Smart Screen\Enhanced Phishing Protection\Service Enabled
Impact:
None - this is default behavior.
See Also:
https://workbench.cisecurity.org/benchmarks/21719
Reference:
800-53|SI-16, 800-53r5|SI-16, CSCv7|8.3, CSCv8|10.5, CSF2.0|PR.DS-10, GDPR|32.1.b, HIPAA|164.306(a)(1), ITSG-33|SI-16, LEVEL|1A
Policy Value:
1
Actual Value:
1</t>
  </si>
  <si>
    <t>"4.11.37.1 (L1) Ensure 'Prevent downloading of enclosures' is set to 'Enabled': [PASSED]"
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
Solution:
To establish the recommended configuration via configuration profiles, set the following Settings Catalog path to Enabled
Administrative Templates\Windows Components\RSS Feeds\Prevent downloading of enclosures
Impact:
Users cannot set the Feed Sync Engine to download an enclosure through the Feed property page. Developers cannot change the download setting through feed APIs.
See Also:
https://workbench.cisecurity.org/benchmarks/21719
Reference:
800-171|3.4.9, 800-171|3.13.13, 800-171r3|03.13.13, 800-53|CM-10, 800-53|CM-11, 800-53|SC-18, 800-53r5|CM-10, 800-53r5|CM-11, 800-53r5|SC-18, CSCv7|7.2, CSCv8|9.4, CSF|DE.CM-3, CSF|DE.CM-5, CSF2.0|DE.CM-03, CSF2.0|DE.CM-09, CSF2.0|PR.PS-01, CSF2.0|PR.PS-02, GDPR|32.1.b, HIPAA|164.306(a)(1), ISO-27001-2022|A.5.32, ISO-27001-2022|A.8.19, ISO/IEC-27001|A.12.6.2, ITSG-33|SC-18, LEVEL|1A, NIAv2|SU3, QCSC-v1|3.2, QCSC-v1|8.2.1, SWIFT-CSCv1|5.1
Policy Value:
1
Actual Value:
1</t>
  </si>
  <si>
    <t>"34.5 (L1) Ensure 'Do not show feedback notifications' is set to 'Feedback notifications are disabled': [PASSED]"
This policy setting allows an organization to prevent its devices from showing feedback questions from Microsoft.
The recommended state for this setting is: Feedback notifications are disabled
Users should not be sending any feedback to third-party vendors in an enterprise managed environment.
Solution:
To establish the recommended configuration via configuration profiles, set the following Settings Catalog path to Feedback notifications are disabled :
Experience\Do not show feedback notifications
Impact:
Users will no longer see feedback notifications through the Windows Feedback app.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</si>
  <si>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"22.27 (L1) Ensure 'Hide Exclusions From Local Users' is set to 'Enabled': [PASSED]"
This policy setting controls whether Microsoft Defender Antivirus exclusions are visible to local users on the system.
The recommended state for this setting is: If you enable this setting, local users will no longer be able to see the exclusion list in Windows Security App or via PowerShell.
Note: As of the publication of this Benchmark, the setting configuration state in Intune is the sentence above after
The recommended state for this setting is:
and not
Enabled
as the title states. This was done to keep title length to a minimum.
Only administrators should be able to view and manage Microsoft Defender Antivirus exclusions.
Solution:
To establish the recommended configuration via configuration profiles, set the following Settings Catalog path to If you enable this setting, local users will no longer be able to see the exclusion list in Windows Security App or via PowerShell.
Defender\Hide Exclusions From Local Users
Impact:
Local users will not be able to view Microsoft Defender Antivirus exclusions.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</si>
  <si>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"4.11.36.4.11.1 (L1) Ensure 'Do not delete temp folders upon exit' is set to 'Disabled': [PASSED]"
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
Solution:
To establish the recommended configuration via configuration profiles, set the following Settings Catalog path to Disabled
Administrative Templates\Windows Components\Remote Desktop Services\Remote Desktop Session Host\Temporary Folders\Do not delete temp folders upon exit
Impact:
None - this is the default behavior.
See Also:
https://workbench.cisecurity.org/benchmarks/21719
Reference:
800-171r3|03.03.03b., 800-171r3|03.14.08, 800-53|AU-11, 800-53|SI-12, 800-53r5|AU-11, 800-53r5|SI-12, CSCv7|9.2, CSCv8|3.4, CSF|PR.PT-1, CSF2.0|ID.AM-07, CSF2.0|ID.AM-08, CSF2.0|PR.PS-04, GDPR|32.1.b, HIPAA|164.306(a)(1), HIPAA|164.312(b), ISO-27001-2022|A.5.28, ISO-27001-2022|A.8.15, ITSG-33|AU-11, ITSG-33|SI-12, ITSG-33|SI-12a., LEVEL|1A, NESA|M5.2.3, NESA|M5.2.4, NESA|M5.3.1, NESA|T3.6.2, NIAv2|DR1, NIAv2|DR1a, NIAv2|DR1b, NIAv2|DR1c, NIAv2|DR2, NIAv2|DR3, NIAv2|DR4, NIAv2|DR5, NIAv2|DR6, NIAv2|SM7, PCI-DSSv3.2.1|3.1, PCI-DSSv3.2.1|10.7, PCI-DSSv4.0|3.2.1, PCI-DSSv4.0|10.5.1, QCSC-v1|8.2.1, QCSC-v1|13.2
Policy Value:
1
Actual Value:
1</t>
  </si>
  <si>
    <t>"89.25 (L1) Ensure 'Manage auditing and security log' is set to 'Administrators': [PASSED]"
This policy setting determines which users can change the auditing options for files and directories and clear the Security log.
The recommended state for this setting is: *S-1-5-32-544 (Administrators).
Note: This user right is considered a 'sensitive privilege' for the purposes of auditing.
The ability to manage the Security event log is a powerful user right and it should be closely guarded. Anyone with this user right can clear the Security log to erase important evidence of unauthorized activity.
Solution:
To establish the recommended configuration via configuration profiles, set the following Settings Catalog path to *S-1-5-32-544 (Administrators).
User Rights\Manage auditing and security log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</si>
  <si>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"4.11.55.1.3 (L1) Ensure 'Disallow Digest authentication' is set to 'Enabled': [PASSED]"
This policy setting allows you to manage whether the Windows Remote Management (WinRM) client will not use Digest authentication.
The recommended state for this setting is: Enabled
Digest authentication is less robust than other authentication methods available in WinRM, an attacker who is able to capture packets on the network where WinRM is running may be able to determine the credentials used for accessing remote hosts via WinRM.
Solution:
To establish the recommended configuration via configuration profiles, set the following Settings Catalog path to Enabled
Administrative Templates\Windows Components\Windows Remote Management (WinRM)\WinRM Client\Disallow Digest authentication
Impact:
The WinRM client will not use Digest authentication.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</si>
  <si>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"38.21 (L1) Ensure 'Enable Public Network Firewall: Enable Log Success Connections' is set to 'Enable Logging Of Successful Connections': [PASSED]"
Use this option to log when Windows Firewall with Advanced Security allows an inbound connection. The log records why and when the connection was formed. Look for entries with the word ALLOW in the action column of the log.
The recommended state for this setting is: Enable Logging Of Successful Connections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Successful Connections
Firewall\Enable Public Network Firewall: Enable Log success connections
Impact:
Information about successful connections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</si>
  <si>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"38.14 (L1) Ensure 'Enable Private Network Firewall: Log Max File Size' is set to '16,384 KB or greater': [PASSED]"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16,384 KB or greater :
Firewall\Enable Private Network Firewall: Log Max File Size (KB)
Impact:
The log file size will be limited to the specified size, old events will be overwritten by newer ones when the limit is reached.
See Also:
https://workbench.cisecurity.org/benchmarks/21719
Reference:
800-53|AU-4, 800-53r5|AU-4, CSCv7|6.4, CSCv7|9.4, CSCv8|8.3, CSF|PR.DS-4, CSF|PR.PT-1, GDPR|32.1.b, HIPAA|164.306(a)(1), HIPAA|164.312(b), ISO-27001-2022|A.8.6, ITSG-33|AU-4, LEVEL|1A, NESA|T3.3.1, NESA|T3.6.2, QCSC-v1|8.2.1, QCSC-v1|13.2
Policy Value:
[16384..4294967295]
Actual Value:
32767</t>
  </si>
  <si>
    <t>"89.8 (L1) Ensure 'Create Page File' is set to 'Administrators': [PASSED]"
This policy setting allows users to change the size of the pagefile. By making the pagefile extremely large or extremely small, an attacker could easily affect the performance of a compromised computer.
The recommended state for this setting is: *S-1-5-32-544 (Administrators).
Users who can change the page file size could make it extremely small or move the file to a highly fragmented storage volume, which could cause reduced computer performance.
Solution:
To establish the recommended configuration via configuration profiles, set the following Settings Catalog path to *S-1-5-32-544 (Administrators).
User Rights\Create Page File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</si>
  <si>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"4.10.9.2 (L1) Ensure 'Prevent device metadata retrieval from the Internet' is set to 'Enabled': [PASSED]"
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
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
Solution:
To establish the recommended configuration via configuration profiles, set the following Settings Catalog path to Enabled
Administrative Templates\System\Device Installation\Prevent device metadata retrieval from the Internet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
See Also:
https://workbench.cisecurity.org/benchmarks/21719
Reference:
800-171|3.4.8, 800-171r3|03.04.08, 800-53|CM-7(5), 800-53|CM-10, 800-53|SI-16, 800-53r5|CM-7(5), 800-53r5|CM-10, 800-53r5|SI-16, CSCv8|2.5, CSCv8|10.5, CSF|DE.CM-3, CSF|PR.IP-1, CSF|PR.PT-3, CSF2.0|DE.CM-03, CSF2.0|DE.CM-09, CSF2.0|PR.DS-10, CSF2.0|PR.PS-01, GDPR|32.1.b, HIPAA|164.306(a)(1), ISO-27001-2022|A.5.32, ISO-27001-2022|A.8.19, ISO/IEC-27001|A.12.5.1, ISO/IEC-27001|A.12.6.2, ITSG-33|CM-7, ITSG-33|SI-16, LEVEL|1A, NIAv2|SS15a, PCI-DSSv3.2.1|2.2.2, QCSC-v1|3.2, QCSC-v1|8.2.1, SWIFT-CSCv1|2.3, TBA-FIISB|44.2.2, TBA-FIISB|49.2.3
Policy Value:
1
Actual Value:
1</t>
  </si>
  <si>
    <t>"6.18 (L1) Ensure 'Object Access Audit Detailed File Share' is set to include 'Failure': [PASSED]"
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
Solution:
To establish the recommended configuration via configuration profiles, set the following Settings Catalog path to Failure
Auditing\Object Access Audit Detailed File Share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CSCv7|14.6,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'failure' || 'success, failure'
Actual Value:
'failure'</t>
  </si>
  <si>
    <t>"55.7 (L1) Ensure 'MSI Always install with elevated privileges' is set to 'Disabled': [PASSED]"
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
Solution:
To establish the recommended configuration via configuration profiles, set the following Settings Catalog path to Disabled :
Microsoft App Store\MSI Always install with elevated privileges
Impact:
None - this is the default behavior.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0
Actual Value:
0</t>
  </si>
  <si>
    <t>"81.42 (L1) Ensure 'Xbox Live Networking Service (XboxNetApiSvc)' is set to 'Disabled': [PASSED]"
This service supports the Windows.Networking.XboxLive application programming interface.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Live Networking Service
Impact:
Connections to Xbox Live may fail and applications that interact with that service may also fail.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</si>
  <si>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"76.1.1 (L1) Ensure 'Notify Malicious' is set to 'Enabled': [PASSED]"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The recommended state for this setting is: Enabled
Note: This setting only applies to Microsoft Accounts (computer or browser login) while using Microsoft Windows 11 and not on-prem domain-joined accounts.
Users will receive a pop-up notification if they try to access a website that is being blocked by Windows Defender SmartScreen. This assists users in making informed decisions about why the website is being blocked and whether to continue to it.
Solution:
To establish the recommended configuration via configuration profiles, set the following Settings Catalog path to Enabled :
Smart Screen\Enhanced Phishing Protection\Notify Malicious
Impact:
In some cases, Windows Defender SmartScreen may block legitimate websites, that have been incorrectly flagged by Microsoft.
See Also:
https://workbench.cisecurity.org/benchmarks/21719
Reference:
800-53|SI-16, 800-53r5|SI-16, CSCv7|8.3, CSCv8|10.5, CSF2.0|PR.DS-10, GDPR|32.1.b, HIPAA|164.306(a)(1), ITSG-33|SI-16, LEVEL|1A
Policy Value:
1
Actual Value:
1</t>
  </si>
  <si>
    <t>"4.7.10 (L1) Ensure 'Point and Print Restrictions: When installing drivers for a new connection' is set to 'Enabled: Show warning and elevation prompt': [PASSED]"
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 and other Print Spooler attacks.
Although the Point and Print default driver installation behavior overrides this setting, it is important to configure this as a backstop in the event that behavior is reversed.
Solution:
To establish the recommended configuration via configuration profiles, set the following Settings Catalog path to Enabled: Show warning and elevation prompt
Administrative Templates\Printers\Point and Print Restrictions: When installing drivers for a new connection
Impact:
None - this is the default behavior.
See Also:
https://workbench.cisecurity.org/benchmarks/21719
Reference:
800-171|3.1.5, 800-171r3|03.01.05a., 800-53|AC-6(8), 800-53r5|AC-6(8),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</si>
  <si>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"4.7.5 (L1) Ensure 'Configure RPC listener settings: Authentication protocol to use for incoming RPC connections:' is set to 'Enabled: Negotiate' or higher: [PASSED]"
This policy setting controls which protocols incoming Remote Procedure Call (RPC) connections to the print spooler are allowed to use.
The recommended state for this setting is: Enabled: Negotiate or higher.
This setting can prevent the use of named pipes for RPC connections to the print spooler and forces the use of TCP which is a more secure communication method.
Solution:
To establish the recommended configuration via configuration profiles, set the following Settings Catalog path to Enabled: Negotiate or higher:
Administrative Templates\Printers\Configure RPC listener settings: Configure protocol options for incoming RPC connections
Impact:
Warning: Many existing print configurations may be using the older named pipes protocol and therefore will cease to function.
See Also:
https://workbench.cisecurity.org/benchmarks/21719
Reference:
800-171r3|03.05.02, 800-53|IA-3(1), 800-53r5|IA-3(1), CSF|PR.AC-1, CSF2.0|PR.AA-01, CSF2.0|PR.AA-03, GDPR|32.1.b, HIPAA|164.306(a)(1), HIPAA|164.312(a)(2)(i), HIPAA|164.312(d), ITSG-33|IA-3(1), LEVEL|1A, NESA|T5.4.3, QCSC-v1|13.2, TBA-FIISB|27.1
Policy Value:
0 || 1
Actual Value:
0</t>
  </si>
  <si>
    <t>"4.10.30.1 (L1) Ensure 'Configure Offer Remote Assistance' is set to 'Disabled': [PASSED]"
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malicious user.
Solution:
To establish the recommended configuration via configuration profiles, set the following Settings Catalog path to Disabled
Administrative Templates\System\Remote Assistance\Configure Offer Remote Assistance
Impact:
None - this is the default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</si>
  <si>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"89.5 (L1) Ensure 'Backup Files And Directories' is set to 'Administrators': [PASSED]"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
The recommended state for this setting is: *S-1-5-32-544 (Administrators).
Note: This user right is considered a 'sensitive privilege' for the purposes of auditing.
Users who are able to back up data from a computer could take the backup media to a non-domain computer on which they have administrative privileges and restore the data. They could take ownership of the files and view any unencrypted data that is contained within the backup set.
Solution:
To establish the recommended configuration via configuration profiles, set the following Settings Catalog path to *S-1-5-32-544 (Administrators).
User Rights\Backup Files And Directories
Note: Include only one User or Group per line in the Settings Catalog configuration screen.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</si>
  <si>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"49.29 (L1) Ensure 'User Account Control: Behavior of the elevation prompt for standard users' is set to 'Automatically deny elevation requests': [FAILED]"
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
Solution:
To establish the recommended configuration via configuration profiles, set the following Settings Catalog path to Automatically deny elevation requests:
Local Policies Security Options\User Account Control: Behavior of the elevation prompt for standard users
Impact:
When an operation requires elevation of privilege, a configurable access denied error message is displayed. An enterprise that is running desktops as standard user may choose this setting to reduce help desk calls.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Note #2: When using third-party remote support tools, this recommendation could prevent Administrators from entering their administrative credentials. In this case, an exception to this recommendation will be needed.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1</t>
  </si>
  <si>
    <t>"72.3 (L1) Ensure 'Allow Search To Use Location' is set to 'Block': [PASSED]"
This policy setting specifies whether search and Cortana can provide location aware search and Cortana results.
The recommended state for this setting is: Block
In an enterprise managed environment, allowing Cortana and Search to have access to location data is unnecessary. Organizations likely do not want this information shared out.
Solution:
To establish the recommended configuration via configuration profiles, set the following Settings Catalog path to Block :
Search\Allow search to use location
Impact:
Search and Cortana will not have access to location information.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</si>
  <si>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"4.11.18.4 (L1) Ensure 'Turn off shell protocol protected mode' is set to 'Disabled': [PASSED]"
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
Solution:
To establish the recommended configuration via configuration profiles, set the following Settings Catalog path to Disabled
Administrative Templates\Windows Components\File Explorer\Turn off shell protocol protected mode
Impact:
None - this is the default behavior.
See Also:
https://workbench.cisecurity.org/benchmarks/21719
Reference:
800-171|3.4.2, 800-171|3.4.6, 800-171|3.4.7, 800-171r3|03.04.02, 800-171r3|03.04.06, 800-53|CM-6, 800-53|CM-7, 800-53r5|CM-6, 800-53r5|CM-7, CSCv7|8.3, CSCv8|4.8, CSF|PR.IP-1, CSF|PR.PT-3, CSF2.0|DE.CM-09, CSF2.0|PR.PS-01, GDPR|32.1.b, HIPAA|164.306(a)(1), ISO-27001-2022|A.8.9, ITSG-33|CM-6, ITSG-33|CM-7, LEVEL|1A, NIAv2|SS15a, PCI-DSSv3.2.1|2.2.2, SWIFT-CSCv1|2.3
Policy Value:
0
Actual Value:
0</t>
  </si>
  <si>
    <t>"6.22 (L1) Ensure 'Policy Change Audit Other Policy Change Events' is set to include 'Failure': [PASSED]"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Events for this subcategory include: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
Solution:
To establish the recommended configuration via configuration profiles, set the following Settings Catalog path to Failure
Auditing\Policy Change Audit Other Policy Change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'failure' || 'success, failure'
Actual Value:
'failure'</t>
  </si>
  <si>
    <t>"4.11.18.2 (L1) Ensure 'Turn off Data Execution Prevention for Explorer' is set to 'Disabled': [PASSED]"
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
Data Execution Prevention is an important security feature supported by Explorer that helps to limit the impact of certain types of malware.
Solution:
To establish the recommended configuration via configuration profiles, set the following Settings Catalog path to Disabled
Administrative Templates\Windows Components\File Explorer\Turn off Data Execution Prevention for Explorer
Impact:
None - this is the default behavior.
See Also:
https://workbench.cisecurity.org/benchmarks/21719
Reference:
800-53|SI-16, 800-53r5|SI-16, CSCv7|8.3, CSCv8|10.5, CSF2.0|PR.DS-10, GDPR|32.1.b, HIPAA|164.306(a)(1), ITSG-33|SI-16, LEVEL|1A
Policy Value:
0
Actual Value:
0</t>
  </si>
  <si>
    <t>"38.15 (L1) Ensure 'Enable Public Network Firewall' is set to 'True': [PASSED]"
Select True (recommended) to have Windows Firewall with Advanced Security use the settings for this profile to filter network traffic. If you select False, Windows Firewall with Advanced Security will not use any of the firewall rules or connection security rules for this profile.
The recommended state for this setting is: True (recommended)
If the firewall is turned off all traffic will be able to access the system and an attacker may be more easily able to remotely exploit a weakness in a network service.
Solution:
To establish the recommended configuration via configuration profiles, set the following Settings Catalog path to True (recommended):
Firewall\Enable Public Network Firewall
Impact:
None - this is the default behavior.
See Also:
https://workbench.cisecurity.org/benchmarks/21719
Reference:
800-171|3.13.1, 800-171|3.13.5, 800-171|3.13.6, 800-171r3|03.13.01, 800-171r3|03.13.06, 800-53|SC-7, 800-53|SC-7(5), 800-53r5|SC-7, 800-53r5|SC-7(5), CN-L3|7.1.2.2(c), CN-L3|8.1.10.6(j), CSCv7|9.4,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</si>
  <si>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"6.2 (L1) Ensure 'Account Logon Logoff Audit Account Lockout' is set to include 'Failure': [PASSED]"
This subcategory reports when a user's account is locked out as a result of too many failed logon attempts. Events for this subcategory include:
 - 4625: An account failed to log on.
The recommended state for this setting is to include: Failure
Auditing these events may be useful when investigating a security incident.
Solution:
To establish the recommended configuration via configuration profiles, set the following Settings Catalog path to Failure
Auditing\Account Logon Logoff Audit Account Lockout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'failure' || 'success, failure'
Actual Value:
'failure'</t>
  </si>
  <si>
    <t>"103.6 (L1) Ensure 'Block 'Pause Updates' ability' is set to 'Block': [PASSED]"
This policy removes access to 'Pause updates' feature.
The recommended state for this setting is: Block
In order to ensure security and system updates are applied, system administrators should control when updates are applied to systems.
Solution:
To establish the recommended configuration via GP, set the following UI path to Block :
Windows Update For Business\Block 'Pause Updates' ability
Impact:
Users will not be able to select the 'Pause updates' option in Windows Update to prevent updates from being installed on a system.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1
Actual Value:
1</t>
  </si>
  <si>
    <t>"81.41 (L1) Ensure 'Xbox Live Game Save (XblGameSave)' is set to 'Disabled': [PASSED]"
This service syncs save data for Xbox Live save enabled games.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Live Game Save
Impact:
Game save data will not upload to or download from Xbox Live.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</si>
  <si>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"4.10.5.2 (L1) Ensure 'Remote host allows delegation of non-exportable credentials' is set to 'Enabled': [PASSED]"
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
Solution:
To establish the recommended configuration via configuration profiles, set the following Settings Catalog path to Enabled
Administrative Templates\System\Credentials Delegation\Remote host allows delegation of non-exportable credentials
Impact:
The host will support the
Restricted Admin Mode
and
Windows Defender Remote Credential Guard
features.
See Also:
https://workbench.cisecurity.org/benchmarks/21719
Reference:
800-171|3.5.2, 800-171r3|03.05.12, 800-53|IA-5, 800-53r5|IA-5, CSCv7|16.5, CSF|PR.AC-1, CSF2.0|PR.AA-01, CSF2.0|PR.AA-03, GDPR|32.1.b, HIPAA|164.306(a)(1), HIPAA|164.312(a)(2)(i), HIPAA|164.312(d), ISO-27001-2022|A.5.16, ISO-27001-2022|A.5.17, ITSG-33|IA-5, LEVEL|1A, NESA|T5.2.3, QCSC-v1|5.2.2, QCSC-v1|13.2
Policy Value:
1
Actual Value:
1</t>
  </si>
  <si>
    <t>"98.2 (L1) Ensure 'Allow Windows Ink Workspace' is set to 'Enabled: but the user can't access it above the lock screen' OR 'Disabled': [PASSED]"
This policy setting determines whether Windows Ink items are allowed above the lock screen.
The recommended state for this setting is: Ink workspace is enabled (feature is turned on), but the user can't access it above the lock screen OR Access to ink workspace is disabled. The feature is turned off
Allowing any apps to be accessed while system is locked is not recommended. If this feature is permitted, it should only be accessible once a user authenticates with the proper credentials.
Solution:
To establish the recommended configuration via configuration profiles, set the following Settings Catalog path to Ink workspace is enabled (feature is turned on), but the user can't access it above the lock screen OR Access to ink workspace is disabled. The feature is turned off
Windows Ink Workspace\Allow Windows Ink Workspace
Impact:
Windows Ink Workspace will not be permitted above the lock screen.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0 || 1
Actual Value:
1</t>
  </si>
  <si>
    <t>"4.7.2 (L1) Ensure 'Configure Redirection Guard: Redirection Guard Options' is set to 'Enabled: Redirection Guard Enabled': [PASSED]"
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
Solution:
To establish the recommended configuration via configuration profiles, set the following Settings Catalog path to Enabled: Redirection Guard Enabled :
Administrative Templates\Printers\Configure Redirection Guard: Redirection Guard Options
Impact:
None - this is default behavior.
See Also:
https://workbench.cisecurity.org/benchmarks/21719
Reference:
800-53|SI-16, 800-53r5|SI-16, CSCv7|8.3, CSCv8|10.5, CSF2.0|PR.DS-10, GDPR|32.1.b, HIPAA|164.306(a)(1), ITSG-33|SI-16, LEVEL|1A
Policy Value:
1
Actual Value:
1</t>
  </si>
  <si>
    <t>"22.2 (L1) Ensure 'Allow Email Scanning' is set to 'Allowed': [PASSED]"
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Allowed
Incoming e-mails should be scanned by an antivirus solution such as Microsoft Defender Antivirus, as email attachments are a commonly used attack vector to infiltrate computers with malicious software.
Solution:
To establish the recommended configuration via configuration profiles, set the following Settings Catalog path to Allowed
Defender\Allow Email Scanning
Impact:
E-mail scanning by Microsoft Defender Antivirus will be enabled.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</si>
  <si>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"4.10.30.2 (L1) Ensure 'Configure Solicited Remote Assistance' is set to 'Disabled': [PASSED]"
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
Solution:
To establish the recommended configuration via configuration profiles, set the following Settings Catalog path to Disabled
Administrative Templates\System\Remote Assistance\Configure Solicited Remote Assistance
Impact:
Users on this computer cannot use e-mail or file transfer to ask someone for help. Also, users cannot use instant messaging programs to allow connections to this computer.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</si>
  <si>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"4.11.50.2 (L1) Ensure 'Sign-in and lock last interactive user automatically after a restart' is set to 'Disabled': [PASSED]"
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
Solution:
To establish the recommended configuration via configuration profiles, set the following Settings Catalog path to Disabled
Administrative Templates\Windows Components\Windows Logon Options\Sign-in and lock last interactive user automatically after a restart
Impact:
The device does not store the user's credentials for automatic sign-in after a Windows Update restart. The users' lock screen apps are not restarted after the system restarts. The user is required to present the logon credentials in order to proceed after restart.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</si>
  <si>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"4.11.6.3 (L1) Ensure 'Turn off Autoplay' is set to 'Enabled: All drives': [PASSED]"
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
Note: You cannot use this policy setting to enable Autoplay on computer drives in which it is disabled by default, such as floppy disk and network drives.
The recommended state for this setting is: Enabled: All drives
An attacker could use this feature to launch a program to damage a client computer or data on the computer.
Solution:
To establish the recommended configuration via configuration profiles, set the following Settings Catalog path to Enabled: All drives
Administrative Templates\Windows Components\AutoPlay Policies\Turn off Autoplay
Impact:
Autoplay will be disabled - users will have to manually launch setup or installation programs that are provided on removable media.
See Also:
https://workbench.cisecurity.org/benchmarks/21719
Reference:
800-171|3.8.7, 800-171r3|03.08.07, 800-53|MP-7, 800-53r5|MP-7, CN-L3|8.5.4.1(c), CSCv7|8.5, CSCv8|10.3, CSF|PR.PT-2, GDPR|32.1.b, HIPAA|164.306(a)(1), HIPAA|164.312(a)(1), ISO-27001-2022|A.5.10, ISO-27001-2022|A.7.10, ISO/IEC-27001|A.8.3.1, ISO/IEC-27001|A.8.3.3, LEVEL|1A, NESA|T1.4.1
Policy Value:
255
Actual Value:
255</t>
  </si>
  <si>
    <t>"49.25 (L1) Ensure 'Network Security Minimum Session Security For NTLMSSP Based Clients' is set to 'Require NTLM and 128-bit encryption': [PASSED]"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 and 128-bit encryption
Note: These values are dependent on the
Network security: LAN Manager Authentication Level
security setting value.
You can enable both options for this policy setting to help protect network traffic that uses the NTLM Security Support Provider (NTLM SSP) from being exposed or tampered with by an attacker who has gained access to the same network. In other words, these options help protect against man-in-the-middle attacks.
Solution:
To establish the recommended configuration via configuration profiles, set the following Settings Catalog path to Require NTLM and 128-bit encryption :
Local Policies 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CSCv7|12.5,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537395200
Actual Value:
537395200</t>
  </si>
  <si>
    <t>"4.11.15.4.1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Service\System\Control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</si>
  <si>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"6.24 (L1) Ensure 'System Audit I Psec Driver' is set to 'Success and Failure': [PASSED]"
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Auditing\System Audit I Psec Driver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</si>
  <si>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"81.29 (L1) Ensure 'Web Management Service (WMSvc)' is set to 'Disabled' or 'Not Installed': [PASSED]"
The Web Management Service enables remote and delegated management capabilities for administrators to manage for the Web server, sites and applications present on the machine.
The recommended state for this setting is: Disabled or Not Installed
Note: This service is not installed by default. It is supplied with Windows, but is installed by enabling an optional Windows feature (
Internet Information Services - Web Management Tools - IIS Management Service
).
Remote web administration of IIS on a workstation is an increased security risk, as the attack surface of that workstation is then greatly increased. If proper security mitigations are not followed, the chance of successful attack increases significantly.
Solution:
To establish the recommended configuration, set the following Custom Configuration Policy to 4 or confirm that the service is Not installed :
Name:  &lt;Enter name&gt;
Description: &lt;Enter Description&gt;
OMA-URI: ./Device/Vendor/MSFT/Policy/Config/SystemServices/ConfigureWebManagementServiceStartupMode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WMSvc -StartupType Disabled
Impact:
Remote web-based management of IIS will not be available.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</si>
  <si>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"94.1 (L1) Ensure 'Allow widgets' is set to 'Not allowed': [PASSED]"
This policy setting specifies whether the Widgets feature is allowed on the device. The Widgets feature provides information such as, weather, news, sports, stocks, traffic, and entertainment (not an inclusive list).
The recommended state for this setting is: Not allowed
Due to privacy concerns, apps and features such as Widgets on the Windows taskbar should be treated as a possible security risk due to the potential of data being sent back to third-parties, such as Microsoft.
Solution:
To establish the recommended configuration via configuration profiles, set the following Settings Catalog path to Not Allowed
Widgets\Allow widgets
Impact:
The Widgets feature on the Windows taskbar will not be available on the device.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</si>
  <si>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"80.8 (L1) Ensure 'Limit Dump Collection' is set to 'Enabled': [PASSED]"
This policy setting limits the type of memory dumps that can be collected when more information is needed to troubleshoot a problem.
The recommended state for this setting is: Enabled
Note: Memory dumps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Memory dumps can contain sensitive information. Sending this data to a third-party vendor is a security concern and should only be done on an as-needed basis.
Solution:
To establish the recommended configuration via configuration profiles, set the following Settings Catalog path to Enabled
System\Limit Dump Collection
Impact:
Windows Error Reporting is limited to sending kernel mini and user mode triage memory dumps, reducing the risk of sending sensitive information to Microsoft.
See Also:
https://workbench.cisecurity.org/benchmarks/21719
Reference:
800-171|3.3.1, 800-171|3.3.2, 800-171r3|03.03.01, 800-53|AU-2, 800-53r5|AU-2, CN-L3|8.1.4.3(a), CSF|PR.PT-1, CSF2.0|PR.PS-04, GDPR|32.1.b, HIPAA|164.306(a)(1), HIPAA|164.312(b), ISO-27001-2022|A.8.15, ITSG-33|AU-2, LEVEL|1A, NESA|M1.2.2, NESA|M5.5.1, NIAv2|AM7, NIAv2|AM11a, NIAv2|AM11b, NIAv2|AM11c, NIAv2|AM11d, NIAv2|AM11e, NIAv2|SS30, NIAv2|VL8, QCSC-v1|8.2.1, QCSC-v1|13.2, SWIFT-CSCv1|6.4
Policy Value:
1
Actual Value:
1</t>
  </si>
  <si>
    <t>"89.26 (L1) Ensure 'Manage Volume' is set to 'Administrators': [PASSED]"
This policy setting allows users to manage the system's volume or disk configuration, which could allow a user to delete a volume and cause data loss as well as a denial-of-service condition.
The recommended state for this setting is: *S-1-5-32-544 (Administrators).
Note: A workstation with Microsoft SQL Server installed will require a special exception to this recommendation for the account that runs the SQL Server service to be granted this user right.
A user who is assigned the Perform volume maintenance tasks user right could delete a volume, which could result in the loss of data or a DoS condition.
Solution:
To establish the recommended configuration via configuration profiles, set the following Settings Catalog path to *S-1-5-32-544 (Administrators).
User Rights\Manage Volume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</si>
  <si>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"4.10.26.7 (L1) Ensure 'Turn on convenience PIN sign-in' is set to 'Disabled': [PASSED]"
This policy setting allows you to control whether a user can sign in using a convenience PIN.
Note: The user's password will be cached in the system vault when using this feature.
The recommended state for this setting is: Disabled
A PIN is created from a much smaller selection of characters than a password, so in most cases a PIN will be much less robust than a password.
Solution:
To establish the recommended configuration via configuration profiles, set the following Settings Catalog path to Disabled
Administrative Templates\System\Logon\Turn on convenience PIN sign-in
Impact:
None - this is the default behavior.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</si>
  <si>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"4.7.11 (L1) Ensure 'Point and Print Restrictions: When updating drivers for an existing connection' is set to 'Enabled: Show warning and elevation prompt': [PASSED]"
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 and other Print Spooler attacks.
Although the Point and Print default driver installation behavior overrides this setting, it is important to configure this as a backstop in the event that behavior is reversed.
Solution:
To establish the recommended configuration via configuration profiles, set the following Settings Catalog path to Enabled: Show warning and elevation prompt
Administrative Templates\Printers\Point and Print Restrictions: When updating drivers for an existing connection
Impact:
None - this is the default behavior.
See Also:
https://workbench.cisecurity.org/benchmarks/21719
Reference:
800-171|3.4.2, 800-171r3|03.04.02a., 800-53|CM-6b., 800-53r5|CM-6b., CN-L3|8.1.10.6(d), CSF|PR.IP-1, CSF2.0|DE.CM-09, CSF2.0|PR.PS-01, GDPR|32.1.b, HIPAA|164.306(a)(1), ISO-27001-2022|A.8.9, ITSG-33|CM-6b., LEVEL|1A, NESA|T3.2.1, SWIFT-CSCv1|2.3
Policy Value:
0
Actual Value:
0</t>
  </si>
  <si>
    <t>"89.30 (L1) Ensure 'Profile System Performance' is set to 'Administrators, NT SERVICE\WdiServiceHost': [PASSED]"
This policy setting allows users to use tools to view the performance of different system processes, which could be abused to allow attackers to determine a system's active processes and provide insight into the potential attack surface of the computer.
The recommended state for this setting is: *S-1-5-32-544, *S-1-5-80 (Administrators, NT SERVICE\WdiServiceHost).
The Profile system performance user right poses a moderate vulnerability. Attackers with this user right could monitor a computer's performance to help identify critical processes that they might wish to attack directly. Attackers may also be able to determine what processes are active on the computer so that they could identify countermeasures that they may need to avoid, such as antivirus software or an intrusion detection system.
Solution:
To establish the recommended configuration via configuration profiles, set the following Settings Catalog path to *S-1-5-32-544, *S-1-5-80 (Administrators, NT SERVICE\WdiServiceHost).
User Rights\Profile System Performance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('NT SERVICE\WdiServiceHost' || 'WdiServiceHost')
Actual Value:
'wdiservicehost' &amp;&amp; 'administrators'</t>
  </si>
  <si>
    <t>Conclusion</t>
  </si>
  <si>
    <t>Proof / Explanation</t>
  </si>
  <si>
    <t>Action</t>
  </si>
  <si>
    <t>s1</t>
  </si>
  <si>
    <t>s2</t>
  </si>
  <si>
    <t>s3</t>
  </si>
  <si>
    <t>s4</t>
  </si>
  <si>
    <t>s5</t>
  </si>
  <si>
    <t>s6</t>
  </si>
  <si>
    <t xml:space="preserve"> </t>
  </si>
  <si>
    <t>Opposed: By showing the last user, users can tell if someone else signed in to their machine since their name will no longer show.</t>
  </si>
  <si>
    <t>Opposed. We will utilize a third party update software.</t>
  </si>
  <si>
    <t>"4.11.7.2.12 (BL) Ensure 'Require additional authentication at startup: Configure TPM startup PIN:' is set to 'Enabled: Require startup PIN with TPM': [FAILED]"
This policy setting allows you to configure whether BitLocker requires additional authentication each time the computer starts. This policy setting is applied when you turn on BitLocker.
Note: Only one of the additional authentication options can be
required
at startup, otherwise a policy error occurs.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The recommended state for this setting is: Enabled: Require startup PIN with TPM
Warning: If silent encryption is desired, this setting must be configured to Do not allow startup PIN with TPM and an exception to this recommendation will be needed. Please also see recommendation
Require additional authentication at startup: Configure TPM startup:' is set to 'Enabled: Do not allow TPM'
for needed configuration change for silent encryption.
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
Solution:
To establish the recommended configuration via configuration profiles, set the following Settings Catalog path to Enabled: Require startup PIN with TPM
Administrative Templates\Windows Components\BitLocker Drive Encryption\Operating System Drives\Require additional authentication at startup: Configure TPM startup PIN:
Impact:
A startup PIN will be required in addition to a TPM for BitLocker authentication. A PIN requires physical presence to restart the computer. This functionality is not compatible with Wake on LAN solutions.
See Also:
https://workbench.cisecurity.org/benchmarks/21719
Reference:
800-171|3.5.2, 800-171r3|03.05.07, 800-53|IA-5(1), 800-53r5|IA-5(1), CSCv7|13.6, CSCv8|5.2, CSF|PR.AC-1, CSF2.0|PR.AA-01, CSF2.0|PR.AA-03, GDPR|32.1.b, HIPAA|164.306(a)(1), HIPAA|164.312(a)(2)(i), HIPAA|164.312(d), ISO-27001-2022|A.5.16, ISO-27001-2022|A.5.17, ITSG-33|IA-5(1), LEVEL|BLA, NESA|T5.2.3, QCSC-v1|5.2.2, QCSC-v1|13.2, SWIFT-CSCv1|4.1
Policy Value:
1
Actual Value:
0</t>
  </si>
  <si>
    <t>"4.11.7.3.1 (BL) Ensure 'Deny write access to removable drives not protected by BitLocker' is set to 'Enabled': [FAILED]"
This policy setting configures whether BitLocker protection is required for a computer to be able to write data to a removable data drive.
All removable data drives that are not BitLocker-protected will be mounted as read-only. If the drive is protected by BitLocker, it will be mounted with read and write access.
The recommended state for this setting is: Enabled
Users may not voluntarily encrypt removable drives prior to saving important data to the drive.
Solution:
To establish the recommended configuration via configuration profiles, set the following Settings Catalog path to Enabled
Administrative Templates\Windows Components\BitLocker Drive Encryption\Removable Data Drives\Deny write access to removable drives not protected by BitLocker
Impact:
All removable data drives that are not BitLocker-protected will be mounted as read-only. If the drive is protected by BitLocker, it will be mounted with read and write access.
See Also:
https://workbench.cisecurity.org/benchmarks/21719
Reference:
800-171|3.8.5, 800-171|3.8.7, 800-171r3|03.08.05, 800-171r3|03.08.07, 800-53|MP-5, 800-53|MP-7, 800-53r5|MP-7, CN-L3|8.5.4.1(c), CSCv7|13.6, CSCv7|13.8, CSCv8|3.9, CSF|PR.PT-2, GDPR|32.1.b, HIPAA|164.306(a)(1), HIPAA|164.312(a)(1), ISO-27001-2022|A.5.10, ISO-27001-2022|A.7.9, ISO-27001-2022|A.7.10, ISO/IEC-27001|A.8.3.1, ISO/IEC-27001|A.8.3.3, ITSG-33|MP-5, LEVEL|BLA, NESA|T1.4.1
Policy Value:
1
Actual Value:
0</t>
  </si>
  <si>
    <t>"4.7.4 (L1) Ensure 'Configure RPC connection settings: Use authentication for outgoing RPC connections' is set to 'Enabled: Default': [PASSED]"
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
Solution:
To establish the recommended configuration via configuration profiles, set the following Settings Catalog path to Enabled: Default :
Administrative Templates\Printers\Configure RPC connection settings: Use authentication for outgoing RPC connections
Impact:
Warning: Many existing print configurations may be using the older named pipes protocol and therefore will cease to function.
See Also:
https://workbench.cisecurity.org/benchmarks/21719
Reference:
800-171|3.4.2, 800-171r3|03.04.02a., 800-53|CM-6b., 800-53r5|CM-6b., CN-L3|8.1.10.6(d), CSF|PR.IP-1, CSF2.0|DE.CM-09, CSF2.0|PR.PS-01, GDPR|32.1.b, HIPAA|164.306(a)(1), ISO-27001-2022|A.8.9, ITSG-33|CM-6b., LEVEL|1A, NESA|T3.2.1, SWIFT-CSCv1|2.3
Policy Value:
0
Actual Value:
0</t>
  </si>
  <si>
    <t>"49.11 (L1) Ensure 'Interactive logon: Smart card removal behavior' is set to 'Lock Workstation' or higher: [PASSED]"
This policy setting determines what happens when the smart card for a logged-on user is removed from the smart card reader.
The recommended state for this setting is: Lock Workstation Configuring this setting to Force Logoff or Disconnect if a Remote Desktop Services session also conforms to the benchmark.
Users sometimes forget to lock their workstations when they are away from them, allowing the possibility for malicious users to access their computers. If smart cards are used for authentication, the computer should automatically lock itself when the card is removed to ensure that only the user with the smart card is accessing resources using those credentials.
Solution:
To establish the recommended configuration via configuration profiles, set the following Settings Catalog path to Lock Workstation (or, if applicable for your environment, Force Logoff or Disconnect if a Remote Desktop Services session ):
Local Policies 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
See Also:
https://workbench.cisecurity.org/benchmarks/21719
Reference:
800-171|3.1.1, 800-171|3.1.10, 800-171|3.1.11, 800-171r3|03.01.01h., 800-171r3|03.01.10, 800-171r3|03.01.11, 800-53|AC-2(5), 800-53|AC-11, 800-53|AC-11(1), 800-53|AC-12, 800-53r5|AC-2(5), 800-53r5|AC-11, 800-53r5|AC-11(1), 800-53r5|AC-12, CN-L3|7.1.2.2(d), CN-L3|7.1.3.2(d), CN-L3|7.1.3.7(b), CN-L3|8.1.4.1(b), CSCv7|16.11, CSCv8|4.3, CSF|PR.AC-1, CSF|PR.AC-4, CSF2.0|DE.CM-01, CSF2.0|DE.CM-03, CSF2.0|PR.AA-01, CSF2.0|PR.AA-03, CSF2.0|PR.AA-05, CSF2.0|PR.DS-10, GDPR|32.1.b, HIPAA|164.306(a)(1), HIPAA|164.312(a)(1), HIPAA|164.312(a)(2)(iii), ISO-27001-2022|A.5.16, ISO-27001-2022|A.5.18, ISO-27001-2022|A.7.7, ISO-27001-2022|A.8.1, ISO-27001-2022|A.8.2, ISO/IEC-27001|A.9.2.1, ISO/IEC-27001|A.11.2.8, ITSG-33|AC-2(5), ITSG-33|AC-11, ITSG-33|AC-11(1), ITSG-33|AC-12, LEVEL|1A, NIAv2|AM23c, NIAv2|AM23d, NIAv2|AM28, NIAv2|NS5j, NIAv2|NS49, NIAv2|SS14e, PCI-DSSv3.2.1|8.1.8, PCI-DSSv4.0|8.2.8, QCSC-v1|5.2.2, QCSC-v1|8.2.1, QCSC-v1|13.2, QCSC-v1|15.2, TBA-FIISB|36.2.1, TBA-FIISB|37.1.4
Policy Value:
'^(1|2|3)$'
Actual Value:
'1'</t>
  </si>
  <si>
    <t>"4.11.36.4.3.1 (L2) Ensure 'Do not allow COM port redirection' is set to 'Enabled': [PASSED]"
This policy setting specifies whether to prevent the redirection of data to client COM ports from the remote computer in a Remote Desktop Services session.
The recommended state for this setting is: Enabled
In a more security-sensitive environment, it is desirable to reduce the possible attack surface. The need for COM port redirection within a Remote Desktop session is very rare, so makes sense to reduce the number of unexpected avenues for data exfiltration and/or malicious code transfer.
Solution:
To establish the recommended configuration via configuration profiles, set the following Settings Catalog path to Enabled
Administrative Templates\Windows Components\Remote Desktop Services\Remote Desktop Session Host\Device and Resource Redirection\Do not allow COM port redirection
Impact:
Users in a Remote Desktop Services session will not be able to redirect server data to local (client) COM ports.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</si>
  <si>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"28.1 (BL) Ensure 'Device Enumeration Policy' is set to 'Block all (most restrictive)': [PASSED]"
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Block all (most restrictive)
Note : This policy does not apply to 1394, PCMCIA or ExpressCard devices. The protection also only applies to Windows 10 R1803 or higher and requires a UEFI BIOS to function.
Note #2 : More information on this feature is available at this link:
Kernel DMA Protection for Thunderbolt(TM) 3 (Windows 10) | Microsoft Docs
.
Device memory sandboxing allows the OS to leverage the I/O Memory Management Unit (IOMMU) of a device to block unpermitted I/O, or memory access, by the peripheral.
Solution:
To establish the recommended configuration via configuration profiles, set the following Settings Catalog path to Block all (most restrictive)
Dma Guard\Device Enumeration Policy
Impact:
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
See Also:
https://workbench.cisecurity.org/benchmarks/21719
Reference:
800-171|3.4.1, 800-171r3|03.04.10, 800-53|CM-8, 800-53r5|CM-8, CN-L3|8.1.10.2(a), CN-L3|8.1.10.2(b), CSCv7|1.4, CSF|DE.CM-7, CSF|ID.AM-1, CSF|ID.AM-2, CSF|PR.DS-3, CSF2.0|ID.AM-01, CSF2.0|ID.AM-02, CSF2.0|PR.PS-01, GDPR|32.1.b, HIPAA|164.306(a)(1), ISO-27001-2022|A.5.9, ISO-27001-2022|A.8.9, ITSG-33|CM-8, LEVEL|BLA, NESA|T1.2.1, NESA|T1.2.2
Policy Value:
0
Actual Value:
0</t>
  </si>
  <si>
    <t>"81.35 (L2) Ensure 'Windows PushToInstall Service (PushToInstall)' is set to 'Disabled': [FAILED]"
This service manages Apps that are pushed to the device from the Microsoft Store App running on other devices or the web.
The recommended state for this setting is: Disabled
In a high security managed environment, application installations should be managed centrally by IT staff, not by end users.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PushToInstall -StartupType Disabled
Impact:
Users will not be able to push Apps to this device from the Microsoft Store running on other devices or the web.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3</t>
  </si>
  <si>
    <t>"4.11.54.2 (L2) Ensure 'Turn on PowerShell Transcription' is set to 'Enabled': [PASSED]"
This Policy setting lets you capture the input and output of Windows PowerShell commands into text-based transcripts.
The recommended state for this setting is: Enabled
PowerShell transcript input can be very valuable when performing forensic investigations of PowerShell attack incidents to determine what occurred.
Solution:
To establish the recommended configuration via configuration profiles, set the following Settings Catalog path to Enabled
Administrative Templates\Windows Components\Windows PowerShell\Turn on PowerShell Transcription
Impact:
PowerShell transcript input will be logged to the PowerShell_transcript output file, which is saved to the My Documents folder of each users' profile by default. Optionally, a specific output directory name can be specified, which will contain all PowerShell transcript logs in a subfolder of My Documents. If specifying a full path outside the users My Documents folder, other users on the system could have access to view these logs, which may contain sensitive information such as passwords.
Warning: There are potential risks of capturing credentials and sensitive information in the PowerShell_transcript output file, which could be exposed to users who have read-access to the file.
Warning #2: PowerShell Transcription is not compatible with the natively installed PowerShell v4 on Microsoft Windows 10 Release 1511 and Server 2012 R2 and below. If this recommendation is set as prescribed, PowerShell will need to be updated to at least v5.1 or newer. For more information on updating PowerShell, please see
Windows PowerShell System Requirements - PowerShell | Microsoft Learn
.
See Also:
https://workbench.cisecurity.org/benchmarks/21719
Reference:
800-171|3.3.1, 800-171|3.3.2, 800-171r3|03.03.01, 800-53|AU-2, 800-53r5|AU-2, CN-L3|8.1.4.3(a), CSCv7|8.8, CSCv8|8.8, CSF|PR.PT-1, CSF2.0|PR.PS-04, GDPR|32.1.b, HIPAA|164.306(a)(1), HIPAA|164.312(b), ISO-27001-2022|A.8.15, ITSG-33|AU-2, LEVEL|2A, NESA|M1.2.2, NESA|M5.5.1, NIAv2|AM7, NIAv2|AM11a, NIAv2|AM11b, NIAv2|AM11c, NIAv2|AM11d, NIAv2|AM11e, NIAv2|SS30, NIAv2|VL8, QCSC-v1|8.2.1, QCSC-v1|13.2, SWIFT-CSCv1|6.4
Policy Value:
1
Actual Value:
1</t>
  </si>
  <si>
    <t>"81.15 (L2) Ensure 'Problem Reports and Solutions Control Panel Support (wercplsupport)' is set to 'Disabled': [PASSED]"
This service provides support for viewing, sending and deletion of system-level problem reports for the Problem Reports and Solutions control panel.
The recommended state for this setting is: Disabled
This service is involved in the process of displaying/reporting issues &amp; solutions to/from Microsoft. In a high security environment, preventing this information from being sent can help reduce privacy concerns for sensitive corporate information.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wercplsupport -StartupType Disabled
Impact:
Sending and viewing system-level problem reports and solutions to and from Microsoft may no longer function.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</si>
  <si>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"4.11.28.10.1 (L2) Ensure 'Configure Watson events' is set to 'Disabled': [PASSED]"
This policy setting allows you to configure whether or not Watson events are sent.
The recommended state for this setting is: Disabled
Watson events are the reports that get sent to Microsoft when a program or service crashes or fails, including the possibility of automatic submission. Preventing this information from being sent can help reduce privacy concerns.
Solution:
To establish the recommended configuration via configuration profiles, set the following Settings Catalog path to Disabled
Administrative Templates\Windows Components\Microsoft Defender Antivirus\Reporting\Configure Watson events
Impact:
Watson events will not be sent to Microsoft automatically when a program or service crashes or fails.
See Also:
https://workbench.cisecurity.org/benchmarks/21719
Reference:
800-171|3.12.3, 800-171r3|03.12.03, 800-53|CA-7, 800-53r5|CA-7, CSCv7|13.3, CSF|DE.AE-2, CSF|DE.AE-3, CSF|DE.CM-1, CSF|DE.CM-2, CSF|DE.CM-3, CSF|DE.CM-6, CSF|DE.CM-7, CSF|DE.DP-1, CSF|DE.DP-2, CSF|DE.DP-3, CSF|DE.DP-4, CSF|DE.DP-5, CSF|ID.RA-1, CSF|PR.IP-7, CSF|PR.IP-8, CSF|RS.AN-1, CSF|RS.CO-3, CSF|RS.MI-3, CSF2.0|DE.AE-02, CSF2.0|DE.AE-03, CSF2.0|DE.CM-01, CSF2.0|DE.CM-02, CSF2.0|DE.CM-03, CSF2.0|DE.CM-06, CSF2.0|DE.CM-09, CSF2.0|ID.IM-01, CSF2.0|ID.IM-02, CSF2.0|ID.IM-03, CSF2.0|ID.RA-01, CSF2.0|ID.RA-07, GDPR|32.1.b, GDPR|32.1.d, GDPR|32.2, HIPAA|164.306(a)(1), HIPAA|164.312(b), ISO-27001-2022|A.5.36, ISO-27001-2022|9.1, ISO-27001-2022|9.3.2, ISO-27001-2022|9.3.3, ITSG-33|CA-7, LEVEL|2A, NESA|M1.2.2, NESA|M5.3.1, NESA|M5.4.1, NESA|M6.2.2, QCSC-v1|3.2, QCSC-v1|5.2.1, QCSC-v1|5.2.2, QCSC-v1|5.2.3, QCSC-v1|6.2, QCSC-v1|8.2.1, QCSC-v1|10.2.1, QCSC-v1|11.2
Policy Value:
1
Actual Value:
1</t>
  </si>
  <si>
    <t>"4.11.3.2 (L2) Ensure 'Block launching Universal Windows apps with Windows Runtime API access from hosted content.' is set to 'Enabled': [PASSED]"
This policy setting controls whether Microsoft Store apps with Windows Runtime API access directly from web content can be launched.
The recommended state for this setting is: Enabled
Blocking apps from the web with direct access to the Windows API can prevent malicious apps from being run on a system. Only system administrators should be installing approved applications.
Solution:
To establish the recommended configuration via configuration profiles, set the following Settings Catalog path to Enabled
Administrative Templates\Windows Components\App runtime\Block launching Universal Windows apps with Windows Runtime API access from hosted content.
Note: A reboot may be required after the setting is applied.
Impact:
Universal Windows apps which declare Windows Runtime API access in the ApplicationContentUriRules section of the manifest cannot be launched (Universal Windows apps which have not declared Windows Runtime API access in the manifest will not be affected).
See Also:
https://workbench.cisecurity.org/benchmarks/21719
Reference:
800-171|3.4.8, 800-171r3|03.04.08, 800-53|CM-7(5), 800-53|CM-10, 800-53r5|CM-7(5), 800-53r5|CM-10, CSCv7|9.2, CSCv8|2.5, CSF|DE.CM-3, CSF|PR.IP-1, CSF|PR.PT-3, CSF2.0|DE.CM-03, CSF2.0|DE.CM-09, CSF2.0|PR.PS-01, GDPR|32.1.b, HIPAA|164.306(a)(1), ISO-27001-2022|A.5.32, ISO-27001-2022|A.8.19, ISO/IEC-27001|A.12.5.1, ISO/IEC-27001|A.12.6.2, ITSG-33|CM-7, LEVEL|2A, NIAv2|SS15a, PCI-DSSv3.2.1|2.2.2, QCSC-v1|3.2, QCSC-v1|8.2.1, SWIFT-CSCv1|2.3, TBA-FIISB|44.2.2, TBA-FIISB|49.2.3
Policy Value:
1
Actual Value:
1</t>
  </si>
  <si>
    <t>"4.11.7.2.4 (BL) Ensure 'Choose how BitLocker-protected operating system drives can be recovered: Allow data recovery agent' is set to 'Enabled: False': [PASSED]"
This policy setting allows you to control how BitLocker-protected operating system drives are recovered in the absence of the required startup key information. This policy setting is applied when you turn on BitLocker.
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The recommended state for this setting is: Enabled: False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False
Administrative Templates\Windows Components\BitLocker Drive Encryption\Operating System Drives\Choose how BitLocker-protected operating system drives can be recovered: Allow data recovery agent
Impact:
A Data Recovery Agent will not be permitted for the operating system drive.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0
Actual Value:
0</t>
  </si>
  <si>
    <t>"80.1 (L2) Ensure 'Allow Font Providers' is set to 'Not allowed': [FAILED]"
This policy setting determines whether Windows is allowed to download fonts and font catalog data from an online font provider.
The recommended state for this setting is: Not allowed
In an enterprise managed environment the IT department should be managing the changes to the system configuration, to ensure all changes are tested and approved.
Solution:
To establish the recommended configuration via configuration profiles, set the following Settings Catalog path to Not allowed :
System\Allow Font Providers
Impact:
Windows will not connect to an online font provider and will only enumerate locally-installed fonts.
See Also:
https://workbench.cisecurity.org/benchmarks/21719
Reference:
800-171|3.5.2, 800-171r3|03.05.12, 800-53|IA-5, 800-53r5|SR-11, CSCv7|18.4, CSCv8|16.5, CSF|PR.AC-1, CSF2.0|PR.AA-01, CSF2.0|PR.AA-03, GDPR|32.1.b, HIPAA|164.306(a)(1), HIPAA|164.312(a)(2)(i), HIPAA|164.312(d), ISO-27001-2022|A.5.16, ISO-27001-2022|A.5.17, ITSG-33|IA-5, LEVEL|2A, NESA|T5.2.3, QCSC-v1|5.2.2, QCSC-v1|13.2
Policy Value:
0
Actual Value:
1</t>
  </si>
  <si>
    <t>"68.3 (L2) Ensure 'Disable Advertising ID' is set to 'Enabled': [PASSED]"
This policy setting turns off the advertising ID, preventing apps from using the ID for experiences across apps.
The recommended state for this setting is: Enabled
Tracking user activity for advertising purposes, even anonymously, may be a privacy concern. In an enterprise managed environment, applications should not need or require tracking for targeted advertising.
Solution:
To establish the recommended configuration via configuration profiles, set the following Settings Catalog path to Enabled :
Privacy\Disable Advertising ID
Impact:
The advertising ID is turned off. Apps can't use the ID for experiences across apps.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</si>
  <si>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"81.36 (L2) Ensure 'Windows Remote Management (WS-Management) (WinRM)' is set to 'Disabled': [PASSED]"
Windows Remote Management (WinRM) service implements the WS-Management protocol for remote management. WS-Management is a standard web services protocol used for remote software and hardware management. The WinRM service listens on the network for WS-Management requests and processes them.
The recommended state for this setting is: Disabled
Features that enable inbound network connections increase the attack surface. In a high security environment, management of secure workstations should be handled locally.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WinRM -StartupType Disabled
Impact:
The ability to remotely manage the system with WinRM will be lost.
Note: Many remote administration tools, such as System Center Configuration Manager (SCCM), may require the WinRM service to be operational for remote management.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</si>
  <si>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"4.10.9.1.3 (BL) Ensure 'Prevent installation of devices using drivers that match these device setup classes: Prevent installation of devices using drivers for these device setup' is set to 'IEEE 1394 device setup classes': [FAILED]"
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Here are the four entries we recommend and what they translate to:
 - {d48179be-ec20-11d1-b6b8-00c04fa372a7} - IEEE 1394 devices that support the SBP2 Protocol Class
 - {7ebefbc0-3200-11d2-b4c2-00a0C9697d07} - IEEE 1394 devices that support the IEC-61883 Protocol Class
 - {c06ff265-ae09-48f0-812c-16753d7cba83} - IEEE 1394 devices that support the AVC Protocol Class
 - {6bdd1fc1-810f-11d0-bec7-08002be2092f} - IEEE 1394 Host Bus Controller Class
The full list of system-defined device setup classes available in Windows is here:
System-Defined Device Setup Classes Available to Vendors | Microsoft Docs
The recommended state for this setting is: {d48179be-ec20-11d1-b6b8-00c04fa372a7} {7ebefbc0-3200-11d2-b4c2-00a0C9697d07} {c06ff265-ae09-48f0-812c-16753d7cba83} and {6bdd1fc1-810f-11d0-bec7-08002be2092f}
Note: IEEE 1394 has also been known/branded as
FireWire
(by Apple),
i.LINK
(by Sony) and
Lynx
(by Texas Instruments).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an attacker may be able to perform DMA attacks.
This issue is documented in Microsoft Knowledge Base article 2516445:
Blocking the SBP-2 driver and Thunderbolt controllers to reduce 1394 DMA and Thunderbolt DMA threats to BitLocker
.
Solution:
To establish the recommended configuration via configuration profiles, set the following Settings Catalog path to Enabled and add {d48179be-ec20-11d1-b6b8-00c04fa372a7} {7ebefbc0-3200-11d2-b4c2-00a0C9697d07} {c06ff265-ae09-48f0-812c-16753d7cba83} and {6bdd1fc1-810f-11d0-bec7-08002be2092f} to the device setup classes list.
Administrative Templates\System\Device Installation\Device Installation Restrictions\Prevent installation of devices using drivers that match these device setup classes
Impact:
IEEE 1394 drives &amp; devices will be prevented from being installed in Windows.
See Also:
https://workbench.cisecurity.org/benchmarks/21719
Reference:
800-171|3.14.2, 800-171|3.14.4, 800-171|3.14.5, 800-171r3|03.14.02c.02, 800-53|SI-3c.2., 800-53r5|SI-3c.2., CN-L3|7.1.3.6(b), CN-L3|8.1.4.5, CN-L3|8.1.9.6(a), CN-L3|8.1.9.6(b), CN-L3|8.1.10.5(b), CN-L3|8.1.10.7(a), CN-L3|8.1.10.7(b), CSF|DE.CM-4, CSF|DE.DP-3, CSF2.0|PR.DS-01, CSF2.0|PR.DS-02, CSF2.0|PR.DS-10, GDPR|32.1.b, HIPAA|164.306(a)(1), ISO-27001-2022|A.8.7, ISO/IEC-27001|A.12.2.1, ITSG-33|SI-3c.b., LEVEL|BLA, NESA|T3.4.1, NIAv2|NS24, PCI-DSSv3.2.1|5.1, PCI-DSSv3.2.1|5.1.1, PCI-DSSv4.0|5.3.2, PCI-DSSv4.0|5.3.3, QCSC-v1|3.2, QCSC-v1|5.2.3, QCSC-v1|8.2.1, TBA-FIISB|49.2.1, TBA-FIISB|49.2.2, TBA-FIISB|49.3.1, TBA-FIISB|49.3.2, TBA-FIISB|50.2.1, TBA-FIISB|51.2.4, TBA-FIISB|51.2.7
Policy Value:
'STATUS: PASSED'
Actual Value:
'The following values are missing:_x000D_
_x000D_
{d48179be-ec20-11d1-b6b8-00c04fa372a7}_x000D_
{7ebefbc0-3200-11d2-b4c2-00a0C9697d07}_x000D_
{c06ff265-ae09-48f0-812c-16753d7cba83}_x000D_
{6bdd1fc1-810f-11d0-bec7-08002be2092f}_x000D_
_x000D_
STATUS: FAILED'</t>
  </si>
  <si>
    <t>"26.4 (L1) Ensure 'Device Password Enabled: Device Password Expiration' is set to '365 or fewer days, but not 0': [PASSED]"
This policy setting defines how long a user can use their password before it expires.
The recommended state for this setting is 365 or fewer days, but not 0
Note: Values for this policy setting range from 0 to 730 days. If this policy is set to the value 0, the password will never expire.
The longer a password exists the higher the likelihood that it will be compromised by a brute force attack, by an attacker gaining general knowledge about the user, or by the user sharing the password. Configuring the Maximum password age setting to 0 so that users are never required to change their passwords is a major security risk because that allows a compromised password to be used by the malicious user for as long as the valid user has authorized access.
Because attackers can crack passwords, the more frequently you change the password the less opportunity an attacker has to use a cracked password. However, the lower this value is set, the higher the potential for an increase in calls to help desk support due to users having to change their password or forgetting which password is current.
Solution:
To establish the recommended configuration via configuration profiles, set the following Settings Catalog path to 365 or fewer days, but not 0 :
Device Lock\Device Password Enabled: Device Password Expiration
Impact:
If the Maximum password age setting is too low, users are required to change their passwords very often. Such a configuration can reduce security in the organization, because users might write their passwords in an insecure location or lose them. If the value for this policy setting is too high, the level of security within an organization is reduced because it allows potential attackers more time in which to discover user passwords or to use compromised accounts.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0
Actual Value:
0</t>
  </si>
  <si>
    <t>"4.11.7.1.6 (BL) Ensure 'Choose how BitLocker-protected fixed drives can be recovered: Do not enable BitLocker until recovery information is stored to AD DS for fixed data drives' is set to 'Enabled: False': [FAILED]"
This policy setting allows you to control how BitLocker-protected fixed data drives are recovered in the absence of the required credentials. This policy setting is applied when you turn on BitLocker.
Select the 'Do not enable BitLocker until recovery information is stored in AD DS for fixed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The recommended state for this setting is: Enabled: False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False
Administrative Templates\Windows Components\BitLocker Drive Encryption\Fixed Data Drives\Choose how BitLocker-protected fixed drives can be recovered: Do not enable BitLocker until recovery information is stored to AD DS for fixed data drives
Impact:
None - this is the default behavior.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0
Actual Value:
1</t>
  </si>
  <si>
    <t>"81.14 (L2) Ensure 'Print Spooler (Spooler)' is set to 'Disabled': [FAILED]"
This service spools print jobs and handles interaction with printers.
The recommended state for this setting is: Disabled
In a high security environment, unnecessary services especially those with known vulnerabilities should be disabled.
Disabling the Print Spooler (Spooler) service mitigates the PrintNightmare vulnerability (
CVE-2021-34527
) and other attacks against the service.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Spooler -StartupType Disabled
Impact:
Users will not be able to print, including printing to files (such as Adobe Portable Document Format (PDF)) which uses the Print Spooler service.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2</t>
  </si>
  <si>
    <t>"80.4 (L2) Ensure 'Disable Enterprise Auth Proxy' is set to 'Enable': [PASSED]"
This policy setting controls whether the Connected User Experience and Telemetry service can automatically use an authenticated proxy to send data back to Microsoft.
The recommended state for this setting is: Enable
Sending any data to a third-party vendor is a security concern and should only be done on an as needed basis.
Solution:
To establish the recommended configuration via configuration profiles, set the following Settings Catalog path to Enable
System\Disable Enterprise Auth Proxy
Impact:
The Connected User Experience and Telemetry service will be blocked from automatically using an authenticated proxy.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1
Actual Value:
1</t>
  </si>
  <si>
    <t>"81.12 (L2) Ensure 'Microsoft iSCSI Initiator Service (MSiSCSI)' is set to 'Disabled': [PASSED]"
Manages Internet SCSI (iSCSI) sessions from this computer to remote target devices.
The recommended state for this setting is: Disabled
This service is critically necessary in order to directly attach to an iSCSI device. However, iSCSI itself uses a very weak authentication protocol (CHAP), which means that the passwords for iSCSI communication are easily exposed, unless all of the traffic is isolated and/or encrypted using another technology like IPsec. This service is generally more appropriate for servers in a controlled environment then on workstations requiring high security.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MSiSCSI -StartupType Disabled
Impact:
The computer will not be able to directly login to or access iSCSI targets.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</si>
  <si>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"68.4 (L1) Ensure 'Let Apps Activate With Voice Above Lock' is set to 'Enabled: Force Deny': [PASSED]"
This policy setting specifies whether Windows apps can be activated by voice (apps and Cortana) while the system is locked.
The recommended state for this setting is: Enabled: Force Deny
Access to any computer resource should not be allowed when the device is locked.
Solution:
To establish the recommended configuration via configuration profiles, set the following Settings Catalog path to Enabled: Force Deny :
Privacy\Let Apps Activate With Voice Above Lock
Impact:
Users will not be able to activate apps while the computer is locked.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2
Actual Value:
2</t>
  </si>
  <si>
    <t>"4.10.40.5.1 (L2) Ensure 'Microsoft Support Diagnostic Tool: Turn on MSDT interactive communication with support provider' is set to 'Disabled': [PASSED]"
This policy setting configures Microsoft Support Diagnostic Tool (MSDT) interactive communication with the support provider. MSDT gathers diagnostic data for analysis by support professionals.
The recommended state for this setting is: Disabled
Due to privacy concerns, data should never be sent to any third-party since this data could contain sensitive information.
Solution:
To establish the recommended configuration via configuration profiles, set the following Settings Catalog path to Disabled
Administrative Templates\System\Troubleshooting and Diagnostics\Microsoft Support Diagnostic Tool\Microsoft Support Diagnostic Tool: Turn on MSDT interactive communication with support provider
Impact:
MSDT cannot run in support mode, and no data can be collected or sent to the support provider.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</si>
  <si>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"4.11.36.4.3.3 (L2) Ensure 'Do not allow LPT port redirection' is set to 'Enabled': [PASSED]"
This policy setting specifies whether to prevent the redirection of data to client LPT ports during a Remote Desktop Services session.
The recommended state for this setting is: Enabled
In a more security-sensitive environment, it is desirable to reduce the possible attack surface. The need for LPT port redirection within a Remote Desktop session is very rare, so makes sense to reduce the number of unexpected avenues for data exfiltration and/or malicious code transfer.
Solution:
To establish the recommended configuration via configuration profiles, set the following Settings Catalog path to Enabled
Administrative Templates\Windows Components\Remote Desktop Services\Remote Desktop Session Host\Device and Resource Redirection\Do not allow LPT port redirection
Impact:
Users in a Remote Desktop Services session will not be able to redirect server data to local (client) LPT ports.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</si>
  <si>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"4.10.20.1.7 (L2) Ensure 'Turn off Registration if URL connection is referring to Microsoft.com' is set to 'Enabled': [PASSED]"
This policy setting specifies whether the Windows Registration Wizard connects to Microsoft.com for online registration.
The recommended state for this setting is: Enabled
Users in an enterprise managed environment should not be registering their own copies of Windows, providing their own PII in the process.
Solution:
To establish the recommended configuration via configuration profiles, set the following Settings Catalog path to Enabled
Administrative Templates\System\Internet Communication Management\Internet Communication settings\Turn off Registration if URL connection is referring to Microsoft.com
Impact:
Users are blocked from connecting to Microsoft.com for online registration and they cannot register their copy of Windows online.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</si>
  <si>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"4.10.20.1.8 (L2) Ensure 'Turn off Search Companion content file updates' is set to 'Enabled': [PASSED]"
This policy setting specifies whether Search Companion should automatically download content updates during local and Internet searches.
The recommended state for this setting is: Enabled
There is a small risk that users will unknowingly reveal sensitive information because of the topics they are searching for. This risk is very low because even if this setting is enabled users still must submit search queries to the desired search engine in order to perform searches.
Solution:
To establish the recommended configuration via configuration profiles, set the following Settings Catalog path to Enabled
Administrative Templates\System\Internet Communication Management\Internet Communication settings\Turn off Search Companion content file updates
Impact:
Search Companion does not download content updates during searches.
Note: Internet searches will still send the search text and information about the search to Microsoft and the chosen search provider. If you select Classic Search, the Search Companion feature will be unavailable. You can select Classic Search by clicking Start, Search, Change Preferences, and then Change Internet Search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</si>
  <si>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"81.23 (L2) Ensure 'Server (LanmanServer)' is set to 'Disabled': [PASSED]"
Supports file, print, and named-pipe sharing over the network for this computer. If this service is stopped, these functions will be unavailable.
The recommended state for this setting is: Disabled
In a high security environment, a secure workstation should only be a
client
, not a server. Sharing workstation resources for remote access increases security risk as the attack surface is notably higher.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LanmanServer -StartupType Disabled
Impact:
File, print and named-pipe sharing functions will be unavailable from this machine over the network.
Note: Many remote administration tools, such as System Center Configuration Manager (SCCM), require the Server service to be operational for remote management. In addition, many vulnerability scanners use this service to scan the file system remotely.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</si>
  <si>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"26.5 (L1) Ensure 'Device Password Enabled: Device Password History' is set to '24 or more password(s)': [PASSED]"
This policy setting determines the number of renewed, unique passwords that have to be associated with a user account before you can reuse an old password. In an Intune managed environment this setting applies to local user accounts and not Entra ID accounts.
The value includes the user's current password. This value denotes that with a setting of 1 the user can't reuse their current password when choosing a new password, while a setting of 5 means that a user can't set their new password to their current password or any of their previous four passwords.
The recommended state for this setting is: 24 or more password(s)
The longer a user uses the same password, the greater the chance that an attacker can determine the password through brute force attacks. Also, any accounts that may have been compromised will remain exploitable for as long as the password is left unchanged. If password changes are required but password reuse is not prevented, or if users continually reuse a small number of passwords, the effectiveness of a good password policy is greatly reduced.
If you specify a low number for this policy setting, users will be able to use the same small number of passwords repeatedly. If you do not also configure the Minimum password age setting, users might repeatedly change their passwords until they can reuse their original password.
Solution:
To establish the recommended configuration via configuration profiles, set the following Settings Catalog path to 24 or more password(s) :
Device Lock\Device Password Enabled: Device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CSCv7|16.2, CSCv8|5.2, CSF|PR.AC-1, CSF2.0|PR.AA-01, CSF2.0|PR.AA-03, GDPR|32.1.b, HIPAA|164.306(a)(1), HIPAA|164.312(a)(2)(i), HIPAA|164.312(d), ISO-27001-2022|A.5.16, ISO-27001-2022|A.5.17, ITSG-33|IA-5(1), LEVEL|1A, NESA|T5.2.3, QCSC-v1|5.2.2, QCSC-v1|13.2, SWIFT-CSCv1|4.1
Policy Value:
0
Actual Value:
0</t>
  </si>
  <si>
    <t>"68.1 (L2) Ensure 'Allow Cross Device Clipboard' is set to 'Block': [PASSED]"
This setting determines whether Clipboard contents can be synchronized across devices.
The recommended state for this setting is: Block
In high security environments, clipboard data should stay local to the system and not synced across devices, as it may contain very sensitive information that must be contained locally.
Solution:
To establish the recommended configuration via configuration profiles, set the following Settings Catalog path to Block :
Privacy\Allow Cross Device Clipboard
Impact:
Clipboard contents will not be shareable to other devices.
See Also:
https://workbench.cisecurity.org/benchmarks/21719
Reference:
800-171|3.4.2, 800-171|3.4.6, 800-171|3.4.7, 800-171r3|03.04.02, 800-171r3|03.04.06, 800-53|CM-6, 800-53|CM-7, 800-53r5|CM-6, 800-53r5|CM-7, CSCv8|4.8, CSF|PR.IP-1, CSF|PR.PT-3, CSF2.0|DE.CM-09, CSF2.0|PR.PS-01, GDPR|32.1.b, HIPAA|164.306(a)(1), ISO-27001-2022|A.8.9, ITSG-33|CM-6, ITSG-33|CM-7, LEVEL|2A, NIAv2|SS15a, PCI-DSSv3.2.1|2.2.2, SWIFT-CSCv1|2.3
Policy Value:
0
Actual Value:
0</t>
  </si>
  <si>
    <t>"4.10.20.1.6 (L2) Ensure 'Turn off printing over HTTP' is set to 'Enabled': [FAILED]"
This policy setting allows you to disable the client computer's ability to print over HTTP, which allows the computer to print to printers on the intranet as well as the Internet.
The recommended state for this setting is: Enabled
Note: This control affects printing over both HTTP and HTTPS.
Information that is transmitted over HTTP through this capability is not protected and can be intercepted by malicious users. For this reason, it is not often used in enterprise managed environments.
Solution:
To establish the recommended configuration via configuration profiles, set the following Settings Catalog path to Enabled
Administrative Templates\System\Internet Communication Management\Internet Communication settings\Turn off printing over HTTP
Impact:
The client computer will not be able to print to Internet printers over HTTP or HTTPS.
Note: This policy setting affects the client side of Internet printing only. Regardless of how it is configured, a computer could act as an Internet Printing server and make its shared printers available through HTTP.
See Also:
https://workbench.cisecurity.org/benchmarks/21719
Reference:
800-171|3.4.2, 800-171|3.4.6, 800-171|3.4.7, 800-171r3|03.04.02, 800-171r3|03.04.06, 800-53|CM-6, 800-53|CM-7, 800-53r5|CM-6, 800-53r5|CM-7, CSCv7|13.3, CSCv8|4.8, CSF|PR.IP-1, CSF|PR.PT-3, CSF2.0|DE.CM-09, CSF2.0|PR.PS-01, GDPR|32.1.b, HIPAA|164.306(a)(1), ISO-27001-2022|A.8.9, ITSG-33|CM-6, ITSG-33|CM-7, LEVEL|2A, NIAv2|SS15a, PCI-DSSv3.2.1|2.2.2, SWIFT-CSCv1|2.3
Policy Value:
1
Actual Value:
0</t>
  </si>
  <si>
    <t>"26.8 (L1) Ensure 'Device Password Enabled: Min Device Password Length' is set to '14 or more character(s)': [PASSED]"
This policy setting determines the least number of characters that make up a password for a local user account. There are many different theories about how to determine the best password length for an organization, but perhaps 'passphrase' is a better term than 'password.' In Microsoft Windows 2000 or newer, passphrases can be quite long and can include spaces. Therefore, a phrase such as 'I want to drink a $5 milkshake' is a valid passphrase; it is a considerably stronger password than an 8 or 10 character string of random numbers and letters, and yet is easier to remember. Users must be educated about the proper selection and maintenance of passwords, especially around password length. In enterprise environments, the ideal value for the Minimum password length setting is 14 characters, however you should adjust this value to meet your organization's business requirements.
The recommended state for this setting is: 14 or more character(s)
Types of password attacks include dictionary attacks (which attempt to use common words and phrases) and brute force attacks (which try every possible combination of characters). Also, attackers sometimes try to obtain the account database so they can use tools to discover the accounts and passwords.
Solution:
To establish the recommended configuration via configuration profiles, set the following Settings Catalog path to 14 or more character(s) :
Device Lock\Device Password Enabled: Min Device Password Length
Impact:
Requirements for extremely long passwords can actually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
Warning:
Windows Autopilot - Policy Conflicts
: The out-of-box experience (OOBE) or user desktop auto logon can fail when a device reboots during the device Enrollment Status Page (ESP). This failure can occur when certain DeviceLock policies are applied to a device.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Warning #2: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CSCv7|4.4, CSCv7|16.2, CSCv8|5.2, CSF|PR.AC-1, CSF2.0|PR.AA-01, CSF2.0|PR.AA-03, GDPR|32.1.b, HIPAA|164.306(a)(1), HIPAA|164.312(a)(2)(i), HIPAA|164.312(d), ISO-27001-2022|A.5.16, ISO-27001-2022|A.5.17, ITSG-33|IA-5(1), LEVEL|1A, NESA|T5.2.3, QCSC-v1|5.2.2, QCSC-v1|13.2, SWIFT-CSCv1|4.1
Policy Value:
[14..4294967295]
Actual Value:
14</t>
  </si>
  <si>
    <t>"89.34 (L1) Ensure 'Shut Down The System' is set to 'Administrators, Users': [PASSED]"
This policy setting determines which users who are logged on locally to the computers in your environment can shut down the operating system with the Shut Down command. Misuse of this user right can result in a denial of service condition.
The recommended state for this setting is: *S-1-5-32-544 *S-1-5-32-545 (Administrators, Users).
The ability to shut down a workstation should be available generally to Administrators and authorized users of that workstation, but not permitted for guests or unauthorized users - in order to prevent a Denial of Service attack.
Solution:
To establish the recommended configuration via configuration profiles, set the following Settings Catalog path to *S-1-5-32-544 *S-1-5-32-545 (Administrators, Users).
User Rights\Shut Down The System
Impact:
The impact of removing these default groups from the Shut down the system user right could limit the delegated abilities of assigned roles in your environment. You should confirm that delegated activities will not be adversely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'Users' &amp;&amp; 'Administrators'
Actual Value:
'users' &amp;&amp; 'administrators'</t>
  </si>
  <si>
    <t>"26.3 (L1) Ensure 'Device Password Enabled: Min Device Password Complex Characters' is set to 'Digits and lowercase letters are required': [FAILED]"
This policy setting configures the number of complex element types (uppercase and lowercase letters, numbers, and punctuation) required for PIN or password.
The recommended state for this setting is: Digits and lowercase letters are required
Note: The enforcement of policies for Microsoft accounts happens on the server, and the server requires a password length of 8 and a complexity of 2 A complexity value of 3 or 4 is unsupported and setting this value on the server makes Microsoft accounts non-compliant. However, configuring this setting to 2 will force the value of 3 for Local accounts.
Passwords should contain complexity to ensure they are not easily guessed or brute-forced by a malicious actor.
Solution:
To establish the recommended configuration via configuration profiles, set the following Settings Catalog path to Digits lowercase letters and uppercase letters are required :
Device Lock\Device Password Enabled: Alphanumeric Device Password Required: Min Device Password Complex Characters
Note: As of March 20, 2025, this setting is nested under
Alphanumeric Device Password Required
and may not fully appear in Settings Catalog unless unchecked and re-checked in the settings picker.
Impact: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See Also:
https://workbench.cisecurity.org/benchmarks/21719
Reference:
800-171|3.5.2, 800-171r3|03.05.07, 800-53|IA-5(1), 800-53r5|IA-5(1), CSCv7|4.4, CSCv7|16.2, CSCv8|5.2, CSF|PR.AC-1, CSF2.0|PR.AA-01, CSF2.0|PR.AA-03, GDPR|32.1.b, HIPAA|164.306(a)(1), HIPAA|164.312(a)(2)(i), HIPAA|164.312(d), ISO-27001-2022|A.5.16, ISO-27001-2022|A.5.17, ITSG-33|IA-5(1), LEVEL|1A, NESA|T5.2.3, QCSC-v1|5.2.2, QCSC-v1|13.2, SWIFT-CSCv1|4.1
Policy Value:
3
Actual Value:
2</t>
  </si>
  <si>
    <t>"49.8 (L1) Ensure 'Interactive logon: Machine inactivity limit' is set to '900 or fewer second(s), but not 0': [PASSED]"
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
If a user forgets to lock their computer when they walk away it's possible that a passerby will hijack it.
Solution:
To establish the recommended configuration via configuration profiles, set the following Settings Catalog path to 900 or fewer seconds, but not 0 :
Local Policies Security Options\Interactive logon: Machine inactivity limit
Impact:
The screen saver will automatically activate when the computer has been unattended for the amount of time specified. The impact should be minimal since the screen saver is enabled by default.
See Also:
https://workbench.cisecurity.org/benchmarks/21719
Reference:
800-171|3.1.1, 800-171|3.1.10, 800-171|3.1.11, 800-171r3|03.01.01h., 800-171r3|03.01.10, 800-171r3|03.01.11, 800-53|AC-2(5), 800-53|AC-11, 800-53|AC-11(1), 800-53|AC-12, 800-53r5|AC-2(5), 800-53r5|AC-11, 800-53r5|AC-11(1), 800-53r5|AC-12, CN-L3|7.1.2.2(d), CN-L3|7.1.3.2(d), CN-L3|7.1.3.7(b), CN-L3|8.1.4.1(b), CSCv7|16.11, CSCv8|4.3, CSF|PR.AC-1, CSF|PR.AC-4, CSF2.0|DE.CM-01, CSF2.0|DE.CM-03, CSF2.0|PR.AA-01, CSF2.0|PR.AA-03, CSF2.0|PR.AA-05, CSF2.0|PR.DS-10, GDPR|32.1.b, HIPAA|164.306(a)(1), HIPAA|164.312(a)(1), HIPAA|164.312(a)(2)(iii), ISO-27001-2022|A.5.16, ISO-27001-2022|A.5.18, ISO-27001-2022|A.7.7, ISO-27001-2022|A.8.1, ISO-27001-2022|A.8.2, ISO/IEC-27001|A.9.2.1, ISO/IEC-27001|A.11.2.8, ITSG-33|AC-2(5), ITSG-33|AC-11, ITSG-33|AC-11(1), ITSG-33|AC-12, LEVEL|1A, NIAv2|AM23c, NIAv2|AM23d, NIAv2|AM28, NIAv2|NS5j, NIAv2|NS49, NIAv2|SS14e, PCI-DSSv3.2.1|8.1.8, PCI-DSSv4.0|8.2.8, QCSC-v1|5.2.2, QCSC-v1|8.2.1, QCSC-v1|13.2, QCSC-v1|15.2, TBA-FIISB|36.2.1, TBA-FIISB|37.1.4
Policy Value:
[1..900]
Actual Value:
600</t>
  </si>
  <si>
    <t>"49.5 (L2) Ensure 'Devices: Prevent users from installing printer drivers when connecting to shared printers' is set to 'Enable': [PASSED]"
For a computer to print to a shared printer, the driver for that shared printer must be installed on the local computer. This security setting determines who is allowed to install a printer driver as part of connecting to a shared printer.
The recommended state for this setting is: Enable
Note: This setting does not affect the ability to add a local printer. This setting does not affect Administrators.
It may be appropriate in some organizations to allow users to install printer drivers on their own workstations. However, in a high security environment, you should allow only Administrators, not users, to do this, because printer driver installation may unintentionally cause the computer to become less stable. A malicious user could install inappropriate printer drivers in a deliberate attempt to damage the computer, or a user might accidentally install malicious software that masquerades as a printer driver. It is feasible for an attacker to disguise a Trojan horse program as a printer driver. The program may appear to users as if they must use it to print, but such a program could unleash malicious code on your computer network.
Solution:
To establish the recommended configuration via configuration profiles, set the following Settings Catalog path to Enable :
Local Policies Security Options\Devices: Prevent users from installing printer drivers when connecting to shared printers
Impact:
Only Administrators will be able to install a printer driver as part of connecting to a shared printer. The ability to add a local printer will not be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LEVEL|2A,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1
Actual Value:
1</t>
  </si>
  <si>
    <t>"105.3 (L1) Ensure 'Password Complexity' is set to 'Large letters + small letters + numbers + special characters': [PASSED]"
This policy setting configures the Windows LAPS Password Settings policy for password complexity.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Large letters + small letters + numbers + special characters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Password Complexity to Large letters + small letters + numbers + special characters
Impact:
None - this is the default behavior.
See Also:
https://workbench.cisecurity.org/benchmarks/21719
Reference:
800-171|3.5.2, 800-171r3|03.05.07, 800-53|IA-5(1), 800-53r5|IA-5(1), CSCv7|4.4, CSCv8|5.2, CSF|PR.AC-1, CSF2.0|PR.AA-01, CSF2.0|PR.AA-03, GDPR|32.1.b, HIPAA|164.306(a)(1), HIPAA|164.312(a)(2)(i), HIPAA|164.312(d), ISO-27001-2022|A.5.16, ISO-27001-2022|A.5.17, ITSG-33|IA-5(1), LEVEL|1A, NESA|T5.2.3, QCSC-v1|5.2.2, QCSC-v1|13.2, SWIFT-CSCv1|4.1
Policy Value:
4
Actual Value:
4</t>
  </si>
  <si>
    <t>"61.1 (L2) Ensure 'Disallow Cloud Notification' is set to 'Allow': [FAILED]"
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The recommended state for this setting is: Allow
Windows Push Notification Services (WNS) is a mechanism to receive third-party notifications and updates from the cloud/Internet. In a high security environment, external systems, especially those hosted outside the organization, should be prevented from having an impact on the secure workstations.
Solution:
To establish the recommended configuration via configuration profiles, set the following Settings Catalog path to Allow
Notifications\Disallow Cloud Notification
Impact:
Applications and system features will not be able receive notifications from the network from WNS or via notification polling APIs.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1
Actual Value:
0</t>
  </si>
  <si>
    <t>"8.2 (BL) Ensure 'Allow Warning For Other Disk Encryption' is set to 'Disabled': [PASSED]"
This setting allows Admin to disable all UI (notification for encryption and warning prompt for other disk encryption) and turn on encryption on the user machines silently.
When you disable the warning prompt, the OS drive's recovery key will back up to the user's Microsoft Entra account. When you allow the warning prompt, the user who receives the prompt can select where to back up the OS drive's recovery key.
The endpoint for a fixed data drive's backup is chosen in the following order:
 - The user's Windows Server Active Directory Domain Services account.
 - The user's Microsoft Entra account.
 - The user's personal OneDrive (MDM/MAM only).
Encryption will wait until one of these three locations backs up successfully.
The recommended state for this setting is: Disabled
Note: Starting in Windows 10, version 1803, the value 0 can only be set for Microsoft Entra joined devices. Windows will attempt to silently enable BitLocker for value 0.
Silent encryption enables BitLocker to encrypt data without prompting the user, ensuring the encryption process is uninterrupted.
Solution:
To establish the recommended configuration via configuration profiles, set the following Settings Catalog path to Disabled :
Bitlocker\Allow Warning For Other Disk Encryption
Impact:
Enabling BitLocker on a device with third party encryption may render the device unusable and will require reinstallation of Windows.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0
Actual Value:
0</t>
  </si>
  <si>
    <t>"4.11.7.5 (BL) Ensure 'Choose drive encryption method and cipher strength (Windows 10 [Version 1511] and later): Select the encryption method for operating system drives' is set to 'XTS-AES 128-bit (default)' or 'XTS-AES 256-bit': [PASSED]"
This policy setting determines which encryption method should be used for operating system drives.
The recommended state for this setting is: XTS-AES 128-bit (default) or XTS-AES 256-bit
Enforcing the default value of XTS-AES 128-bit (default) or higher helps ensure that a weaker cipher is not used to protect data on operating system drives.
Solution:
To establish the recommended configuration via configuration profiles, set the following Settings Catalog path to XTS-AES 128-bit (default) or XTS-AES 256-bit
Administrative Templates\Windows Components\BitLocker Drive Encryption\Choose drive encryption method and cipher strength (Windows 10 [Version 1511] and later)\Select the encryption method for operating system drives:
Impact:
None - this setting enforces the default value or higher.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6 || 7
Actual Value:
6</t>
  </si>
  <si>
    <t>"68.5 (L2) Ensure 'Upload User Activities' is set to 'Disabled': [PASSED]"
This policy setting determines whether published User Activities can be uploaded to the cloud.
The recommended state for this setting is: Disabled
Due to privacy concerns, data should never be sent to any third-party since this data could contain sensitive information.
Solution:
To establish the recommended configuration via configuration profiles, set the following Settings Catalog path to Disabled :
Privacy\Upload User Activities
Impact:
Activities of type User Activity are not allowed to be uploaded to the cloud. The Timeline feature will not function across devices.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0
Actual Value:
0</t>
  </si>
  <si>
    <t>"4.11.18.1 (L1) Ensure 'Configure Windows Defender SmartScreen' is set to 'Enabled: Warn and prevent bypass': [PASSED]"
This policy setting allows you to manage the behavior of Windows Defender SmartScreen. Windows Defender SmartScreen helps keep PCs safer by warning users before running unrecognized programs downloaded from the Internet. Some information is sent to Microsoft about files and programs run on PCs with this feature enabled.
The recommended state for this setting is: Enabled: Warn and prevent bypass
Windows Defender SmartScreen helps keep PCs safer by warning users before running unrecognized programs downloaded from the Internet. However, due to the fact that some information is sent to Microsoft about files and programs run on PCs some organizations may prefer to disable it.
Solution:
To establish the recommended configuration via configuration profiles, set the following Settings Catalog path to Enabled: Warn and prevent bypass
Administrative Templates\Windows Components\File Explorer\Configure Windows Defender SmartScreen
Impact:
Users will be warned and prevented from running unrecognized programs downloaded from the Internet.
See Also:
https://workbench.cisecurity.org/benchmarks/21719
Reference:
800-53|SI-16, 800-53r5|SI-16, CSCv7|8.3, CSCv8|10.5, CSF2.0|PR.DS-10, GDPR|32.1.b, HIPAA|164.306(a)(1), ITSG-33|SI-16, LEVEL|1A
Policy Value:
1
Actual Value:
1</t>
  </si>
  <si>
    <t>"55.4 (L1) Ensure 'Block Non Admin User Install' is set to 'Allow': [PASSED]"
This setting manages non-Administrator users' ability to install Windows app packages.
The recommended state for this setting is: Allow
Warning: If the
Self Service Password Reset (SSPR)
feature is used in Microsoft Entra ID, an exception to this recommendation is needed as it's known to interfere with SSPR.
In a corporate managed environment, application installations should be managed centrally by IT staff, not by end users.
Solution:
To establish the recommended configuration via configuration profiles, set the following Settings Catalog path to Allow
Microsoft App Store\Block Non Admin User Install
Impact:
Non-Administrator users will not be able to install Microsoft Store app packages, unless they are explicitly permitted by other policies. If a Microsoft Store app is required for legitimate use, an Administrator will need to perform the installation from an Administrator context.
This setting can prevent standard users (without Administrator access) from launching Office 365 (O365) applications, displaying the error:
'Windows cannot access the specified device, path, or file. You may not have the appropriate permissions to access the item.'
See Also:
https://workbench.cisecurity.org/benchmarks/21719
Reference:
800-171|3.4.8, 800-171r3|03.04.08, 800-53|CM-7(5), 800-53|CM-10, 800-53r5|CM-7(5), 800-53r5|CM-10, CSCv7|4.3, CSCv8|2.5, CSF|DE.CM-3, CSF|PR.IP-1, CSF|PR.PT-3, CSF2.0|DE.CM-03, CSF2.0|DE.CM-09, CSF2.0|PR.PS-01, GDPR|32.1.b, HIPAA|164.306(a)(1), ISO-27001-2022|A.5.32, ISO-27001-2022|A.8.19, ISO/IEC-27001|A.12.5.1, ISO/IEC-27001|A.12.6.2, ITSG-33|CM-7, LEVEL|1A, NIAv2|SS15a, PCI-DSSv3.2.1|2.2.2, QCSC-v1|3.2, QCSC-v1|8.2.1, SWIFT-CSCv1|2.3, TBA-FIISB|44.2.2, TBA-FIISB|49.2.3
Policy Value:
1
Actual Value:
1</t>
  </si>
  <si>
    <t>"4.10.20.1.4 (L2) Ensure 'Turn off Internet Connection Wizard if URL connection is referring to Microsoft.com' is set to 'Enabled': [PASSED]"
This policy setting specifies whether the Internet Connection Wizard can connect to Microsoft to download a list of Internet Service Providers (ISPs).
The recommended state for this setting is: Enabled
In an enterprise managed environment we want to lower the risk of a user unknowingly exposing sensitive data.
Solution:
To establish the recommended configuration via configuration profiles, set the following Settings Catalog path to Enabled
Administrative Templates\System\Internet Communication Management\Internet Communication settings\Turn off Internet Connection Wizard if URL connection is referring to Microsoft.com
Impact:
The 'Choose a list of Internet Service Providers' path in the Internet Connection Wizard causes the wizard to exit. This prevents users from retrieving the list of ISPs, which resides on Microsoft servers.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</si>
  <si>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"8.1 (BL) Ensure 'Require Device Encryption' is set to 'Enabled': [PASSED]"
This setting allows the Admin to require encryption to be turned on using BitLocker\Device Encryption. Disabling the policy won't turn off the encryption on the system drive. But will stop prompting the user to turn it on.
The recommended state for this setting is: Enabled
Note: Setting this policy to Enabled triggers encryption of all drives (silently or non-silently based on AllowWarningForOtherDiskEncryption policy).
Note #2: Currently only full disk encryption is supported when using this CSP for silent encryption. For non-silent encryption, encryption type will depend on SystemDrivesEncryptionType and FixedDrivesEncryptionType configured on the device.
Encrypting drives on end-user devices helps prevent sensitive data at rest from being read in the event a device is lost or stolen. Enabling this setting is also a requirement to turning encryption on machines silently without prompting the end user.
Solution:
To establish the recommended configuration via configuration profiles, set the following Settings Catalog path to Enabled :
Bitlocker\Require Device Encryption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</si>
  <si>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"81.30 (L2) Ensure 'Windows Error Reporting Service (WerSvc)' is set to 'Disabled': [PASSED]"
Allows errors to be reported when programs stop working or responding and allows existing solutions to be delivered. Also allows logs to be generated for diagnostic and repair services.
The recommended state for this setting is: Disabled
If a Windows Error occurs in a secure, enterprise managed environment, the error should be reported directly to IT staff for troubleshooting and remediation. There is no benefit to the corporation to report these errors directly to Microsoft, and there is some risk of unknowingly exposing sensitive data as part of the error.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WerSvc -StartupType Disabled
Impact:
If this service is stopped, error reporting might not work correctly and results of diagnostic services and repairs might not be displayed.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</si>
  <si>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"22.31 (L2) Ensure 'Remote Encryption Protection Aggressiveness' is set to 'Medium' or higher: [PASSED]"
This policy setting configures how aggressively Remote Encryption Prevention Protection blocks malicious IP addresses.
The recommended state for this setting is: Medium: Use cloud aggregation and block when confidence level is above 99% or higher. Configuring this setting to High: Use cloud intel and context, and block when confidence level is above 90% also conforms to the benchmark.
Note: As of the publication of this Benchmark, the setting configuration state in Intune is the sentence above after
The recommended state for this setting is:
and not
Medium
or higher as the title states. This was done to keep title length to a minimum.
This feature can help reduce the likelihood of users visiting malicious websites.
Solution:
To establish the recommended configuration via configuration profiles, set the following Settings Catalog path to Medium: Use cloud aggregation and block when confidence level is above 99% or High: Use cloud intel and context, and block when confidence level is above 90%
Defender\Remote Encryption Protection Aggressiveness
Impact:
Legitimate websites could be blocked by Remote Encryption Prevention Protection. When set to Medium, blocks will occur when the confidence level is above 99%. When set to High, blocks will occur when confidence level is above 90%.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LEVEL|2A, NIAv2|GS8a, PCI-DSSv3.2.1|5.1, PCI-DSSv3.2.1|5.1.1, PCI-DSSv4.0|5.2.1, QCSC-v1|3.2, QCSC-v1|5.2.3, QCSC-v1|8.2.1, TBA-FIISB|49.2.1, TBA-FIISB|49.2.2, TBA-FIISB|49.3.1, TBA-FIISB|49.3.2, TBA-FIISB|50.2.1, TBA-FIISB|51.2.4, TBA-FIISB|51.2.7
Policy Value:
1 || 2
Actual Value:
1</t>
  </si>
  <si>
    <t>"80.2 (L2) Ensure 'Allow Location' is set to 'Force Location Off...': [PASSED]"
This policy setting turns off the location feature for the computer.
The recommended state for this setting is: Force Location Off Force Location Off. All Location Privacy settings are toggled off and grayed out. Users can't change the settings, and no apps are allowed access to the Location service, including Cortana and Search.
This setting affects the location feature (e.g. GPS or other location tracking). From a security perspective, it's not a good idea to reveal your location to software in most cases, but there are legitimate uses, such as mapping software. However, they should not be used in high security environments.
Solution:
To establish the recommended configuration via configuration profiles, set the following Settings Catalog path to Force Location Off...
System\Allow Location
Impact:
The location feature is turned off, and all programs on the computer are prevented from using location information from the location feature.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</si>
  <si>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"4.10.20.1.9 (L2) Ensure 'Turn off the 'Order Prints' picture task' is set to 'Enabled': [PASSED]"
This policy setting specifies whether the 'Order Prints Online' task is available from Picture Tasks in Windows folders.
The Order Prints Online Wizard is used to download a list of providers and allow users to order prints online.
The recommended state for this setting is: Enabled
In an enterprise managed environment we want to lower the risk of a user unknowingly exposing sensitive data.
Solution:
To establish the recommended configuration via configuration profiles, set the following Settings Catalog path to Enabled
Administrative Templates\System\Internet Communication Management\Internet Communication settings\Turn off the 'Order Prints' picture task
Impact:
The task 'Order Prints Online' is removed from Picture Tasks in File Explorer folders.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</si>
  <si>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"4.5.12 (L2) Ensure 'MSS: (TcpMaxDataRetransmissions) How many times unacknowledged data is retransmitted' is set to 'Enabled: 3': [PASSED]"
This setting controls the number of times that TCP retransmits an individual data segment (non-connect segment) before the connection is aborted. The retransmission time-out is doubled with each successive retransmission on a connection. It is reset when responses resume. The base time-out value is dynamically determined by the measured round-trip time on the connection.
The recommended state for this setting is: Enabled: 3
A malicious user could exhaust a target computer's resources if it never sent any acknowledgment messages for data that was transmitted by the target computer.
Solution:
To establish the recommended configuration via configuration profiles, set the following Settings Catalog path to Enabled: 3
Administrative Templates\MSS (Legacy)\MSS:(TcpMaxDataRetransmissions) How many times unacknowledged data is retransmitted
Impact:
TCP starts a retransmission timer when each outbound segment is passed to the IP. If no acknowledgment is received for the data in a given segment before the timer expires, then the segment is retransmitted up to three times.
See Also:
https://workbench.cisecurity.org/benchmarks/21719
Reference:
800-171|3.1.16, 800-171|3.1.17, 800-171|3.4.1, 800-171|3.4.2, 800-171|3.4.6, 800-171|3.4.7, 800-171r3|03.01.16, 800-171r3|03.04.01, 800-171r3|03.04.02, 800-171r3|03.04.06, 800-53|AC-18, 800-53|AC-18(1), 800-53|AC-18(3), 800-53|CM-2, 800-53|CM-6, 800-53|CM-7, 800-53|CM-7(1), 800-53|CM-9, 800-53r5|AC-18, 800-53r5|AC-18(1), 800-53r5|AC-18(3), 800-53r5|CM-2, 800-53r5|CM-6, 800-53r5|CM-7, 800-53r5|CM-7(1), 800-53r5|CM-9, CSCv7|11.1, CSCv8|4.2, CSF|DE.AE-1, CSF|PR.DS-7, CSF|PR.IP-1, CSF|PR.PT-3, CSF|PR.PT-4, CSF2.0|DE.CM-09, CSF2.0|ID.AM-08, CSF2.0|PR.AA-05, CSF2.0|PR.PS-01, GDPR|32.1.b, HIPAA|164.306(a)(1), HIPAA|164.312(a)(1), ISO-27001-2022|A.5.2, ISO-27001-2022|A.5.14, ISO-27001-2022|A.8.9, ISO-27001-2022|A.8.20, ITSG-33|AC-18, ITSG-33|AC-18(1), ITSG-33|AC-18(3), ITSG-33|CM-2, ITSG-33|CM-6, ITSG-33|CM-7, ITSG-33|CM-7(1), ITSG-33|CM-9, LEVEL|2A, NESA|T1.2.1, NESA|T1.2.2, NESA|T3.2.5, NESA|T5.4.2, NESA|T7.5.1, NESA|T7.5.3, NESA|T7.6.1, NESA|T7.6.2, NESA|T7.6.3, NIAv2|NS33, NIAv2|NS34, NIAv2|NS38, NIAv2|SS15a, NIAv2|SS16, PCI-DSSv3.2.1|2.2.2, QCSC-v1|3.2, QCSC-v1|5.2.1, QCSC-v1|5.2.2, SWIFT-CSCv1|2.3
Policy Value:
3
Actual Value:
3</t>
  </si>
  <si>
    <t>"22.25 (L2) Ensure 'Enable File Hash Computation' is set to 'Enable': [PASSED]"
This setting determines whether hash values are computed for files scanned by Microsoft Defender.
The recommended state for this setting is: Enable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
Solution:
To establish the recommended configuration via configuration profiles, set the following Settings Catalog path to Enable
Defender\Enable File Hash Computation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
Note: The impact of this setting should be monitored closely during deployment to ensure user and system performance impact is within acceptable limits.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LEVEL|2A, NIAv2|GS8a, PCI-DSSv3.2.1|5.1, PCI-DSSv3.2.1|5.1.1, PCI-DSSv4.0|5.2.1, QCSC-v1|3.2, QCSC-v1|5.2.3, QCSC-v1|8.2.1, TBA-FIISB|49.2.1, TBA-FIISB|49.2.2, TBA-FIISB|49.3.1, TBA-FIISB|49.3.2, TBA-FIISB|50.2.1, TBA-FIISB|51.2.4, TBA-FIISB|51.2.7
Policy Value:
1
Actual Value:
1</t>
  </si>
  <si>
    <t>"89.15 (L1) Ensure 'Deny Log On As Batch Job' to include 'Guests': [PASSED]"
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*S-1-5-32-546 (Guests).
Accounts that have the Log on as a batch job user right could be used to schedule jobs that could consume excessive computer resources and cause a DoS condition.
Solution:
To establish the recommended configuration via configuration profiles, set the following Settings Catalog path to *S-1-5-32-546 (Guests).
User Rights\Deny Log On As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Actual Value:
'guests'</t>
  </si>
  <si>
    <t>"4.11.36.4.3.4 (L2) Ensure 'Do not allow supported Plug and Play device redirection' is set to 'Enabled': [PASSED]"
This policy setting allows you to control the redirection of supported Plug and Play devices, such as Windows Portable Devices, to the remote computer in a Remote Desktop Services session.
The recommended state for this setting is: Enabled
In a more security-sensitive environment, it is desirable to reduce the possible attack surface. The need for Plug and Play device redirection within a Remote Desktop session is very rare, so makes sense to reduce the number of unexpected avenues for data exfiltration and/or malicious code transfer.
Solution:
To establish the recommended configuration via configuration profiles, set the following Settings Catalog path to Enabled
Administrative Templates\Windows Components\Remote Desktop Services\Remote Desktop Session Host\Device and Resource Redirection\Do not allow supported Plug and Play device redirection
Impact:
Users in a Remote Desktop Services session will not be able to redirect their supported (local client) Plug and Play devices to the remote computer.
See Also:
https://workbench.cisecurity.org/benchmarks/21719
Reference:
800-171|3.4.6, 800-171|3.4.7, 800-171r3|03.04.06b., 800-53|CM-7b., 800-53r5|CM-7b., CN-L3|7.1.3.5(c), CN-L3|7.1.3.7(d), CN-L3|8.1.4.4(b), CSF|PR.IP-1, CSF|PR.PT-3, CSF2.0|PR.PS-01, GDPR|32.1.b, HIPAA|164.306(a)(1), ITSG-33|CM-7a., LEVEL|2A, NIAv2|SS13b, NIAv2|SS14a, NIAv2|SS14c, PCI-DSSv3.2.1|2.2.2, PCI-DSSv4.0|2.2.4, QCSC-v1|3.2, SWIFT-CSCv1|2.3
Policy Value:
1
Actual Value:
1</t>
  </si>
  <si>
    <t>"4.11.52.2.1 (L2) Ensure 'Prevent Codec Download (User)' is set to 'Enabled': [PASSED]"
This setting controls whether Windows Media Player is allowed to download additional codecs for decoding media files it does not already understand.
The recommended state for this setting is: Enabled
This has some potential for risk if a malicious data file is opened in Media Player that requires an additional codec to be installed. If a special codec is required for a necessary job function, then that codec should first be tested to ensure it is legitimate, and it should be supplied by the IT department in the organization.
Solution:
To establish the recommended configuration via configuration profiles, set the following Settings Catalog path to Enabled
Administrative Templates\Windows Components\Windows Media Player\Playback\Prevent Codec Download (User)
Impact:
Windows Media Player is prevented from automatically downloading codecs to your computer. In addition, the
Download codecs automatically
check box on the Player tab in the Player is not available.
See Also:
https://workbench.cisecurity.org/benchmarks/21719
Reference:
800-171|3.13.13, 800-171r3|03.13.13, 800-53|SC-18(3), 800-53r5|SC-18(3), CSF|DE.CM-5, GDPR|32.1.b, HIPAA|164.306(a)(1), ITSG-33|SC-18(3), LEVEL|2A, NIAv2|NS26f, QCSC-v1|3.2, QCSC-v1|8.2.1
Policy Value:
1
Actual Value:
Compliant items:</t>
  </si>
  <si>
    <t>"4.6.17.2 (L2) Ensure 'Prohibit access of the Windows Connect Now wizards' is set to 'Enabled': [PASSED]"
This policy setting prohibits access to Windows Connect Now (WCN) wizards.
The recommended state for this setting is: Enabled
Allowing standard users to access the Windows Connect Now wizard increases the risk and attack surface.
Solution:
To establish the recommended configuration via configuration profiles, set the following Settings Catalog path to Enabled
Administrative Templates\Network\Windows Connect Now\Prohibit access of the Windows Connect Now wizards
Impact:
The WCN wizards are turned off and users have no access to any of the wizard tasks. All the configuration related tasks including 'Set up a wireless router or access point' and 'Add a wireless device' are disabled.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</si>
  <si>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"4.11.35.1 (L2) Ensure 'Turn off Push To Install service' is set to 'Enabled': [PASSED]"
This policy setting controls whether users can push Apps to the device from the Microsoft Store App running on other devices or the web.
The recommended state for this setting is: Enabled
In a high security managed environment, application installations should be managed centrally by IT staff, not by end users.
Solution:
To establish the recommended configuration via configuration profiles, set the following Settings Catalog path to Enabled
Administrative Templates\Windows Components\Push to Install\Turn off Push To Install service
Impact:
Users will not be able to push Apps to this device from the Microsoft Store running on other devices or the web.
See Also:
https://workbench.cisecurity.org/benchmarks/21719
Reference:
800-171|3.4.8, 800-171r3|03.04.08, 800-53|CM-7(5), 800-53|CM-10, 800-53r5|CM-7(5), 800-53r5|CM-10, CSCv7|9.2, CSCv8|2.5, CSF|DE.CM-3, CSF|PR.IP-1, CSF|PR.PT-3, CSF2.0|DE.CM-03, CSF2.0|DE.CM-09, CSF2.0|PR.PS-01, GDPR|32.1.b, HIPAA|164.306(a)(1), ISO-27001-2022|A.5.32, ISO-27001-2022|A.8.19, ISO/IEC-27001|A.12.5.1, ISO/IEC-27001|A.12.6.2, ITSG-33|CM-7, LEVEL|2A, NIAv2|SS15a, PCI-DSSv3.2.1|2.2.2, QCSC-v1|3.2, QCSC-v1|8.2.1, SWIFT-CSCv1|2.3, TBA-FIISB|44.2.2, TBA-FIISB|49.2.3
Policy Value:
1
Actual Value:
1</t>
  </si>
  <si>
    <t>"72.4 (L2) Ensure 'Allow search highlights' is set to '0': [PASSED]"
This policy setting controls search highlights in the start menu search box and in search home.
The recommended state for this setting is: 0
Note: As of February 2024 this setting does not deploy correctly on Windows 10 via Intune and only applies to Windows 11.
In a high security environment, data should never be sent to or received by any third-party since this data could contain sensitive information.
Solution:
To establish the recommended configuration via configuration profiles, set the following Settings Catalog path to 0 :
Search\Allow search highlights
Impact:
'Interesting', 'informative', and 'noteworthy' information about the current date will not be displayed (by Microsoft) to the user.
See Also:
https://workbench.cisecurity.org/benchmarks/21719
Reference:
800-171|3.4.2, 800-171|3.4.6, 800-171|3.4.7, 800-171r3|03.04.02, 800-171r3|03.04.06, 800-53|CM-6, 800-53|CM-7, 800-53r5|CM-6, 800-53r5|CM-7, CSCv8|4.8, CSF|PR.IP-1, CSF|PR.PT-3, CSF2.0|DE.CM-09, CSF2.0|PR.PS-01, GDPR|32.1.b, HIPAA|164.306(a)(1), ISO-27001-2022|A.8.9, ITSG-33|CM-6, ITSG-33|CM-7, LEVEL|2A, NIAv2|SS15a, PCI-DSSv3.2.1|2.2.2, SWIFT-CSCv1|2.3
Policy Value:
0
Actual Value:
0</t>
  </si>
  <si>
    <t>"81.19 (L2) Ensure 'Remote Desktop Services UserMode Port Redirector (UmRdpService)' is set to 'Disabled': [PASSED]"
Allows the redirection of Printers/Drives/Ports for RDP connections.
The recommended state for this setting is: Disabled
In a security-sensitive environment, it is desirable to reduce the possible attack surface - preventing the redirection of COM, LPT and PnP ports will reduce the number of unexpected avenues for data exfiltration and/or malicious code transfer within an RDP session.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UmRdpService -StartupType Disabled
Impact:
Printers, drives and ports (COM, LPT, PnP, etc.) will not be allowed to be redirected inside RDP sessions.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</si>
  <si>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"4.11.7.2.9 (BL) Ensure 'Require additional authentication at startup' is set to 'Enabled': [PASSED]"
This policy setting allows you to configure whether BitLocker requires additional authentication each time the computer starts and whether you are using BitLocker with or without a Trusted Platform Module (TPM). This policy setting is applied when you turn on BitLocker.
Note: Only one of the additional authentication options can be required at startup, otherwise a policy error occurs.
If you want to use BitLocker on a computer without a TPM, select the 'Allow BitLocker without a compatible TPM' check box. In this mode a USB drive is required for start-up and the key information used to encrypt the drive is stored on the USB drive, creating a USB key. When the USB key is inserted the access to the drive is authenticated and the drive is accessible. If the USB key is lost or unavailable you will need to use one of the BitLocker recovery options to access the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Users can configure advanced startup options in the BitLocker setup wizard.
Note #2: If you want to require the use of a startup PIN and a USB flash drive, you must configure BitLocker settings using the command-line tool manage-bde instead of the BitLocker Drive Encryption setup wizard.
The recommended state for this setting is: Enabled
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
Solution:
To establish the recommended configuration via configuration profiles, set the following Settings Catalog path to Enabled
Administrative Templates\Windows Components\BitLocker Drive Encryption\Operating System Drives\Require additional authentication at startup
Impact:
A PIN requires physical presence to restart the computer. This functionality is not compatible with Wake on LAN solutions.
See Also:
https://workbench.cisecurity.org/benchmarks/21719
Reference:
800-171|3.1.19, 800-171r3|03.01.18c., 800-53|AC-19(5), 800-53r5|AC-19(5), CSCv7|13.6, CSF|PR.AC-3, CSF2.0|PR.AA-05, GDPR|32.1.b, HIPAA|164.306(a)(1), ISO-27001-2022|A.5.14, ISO-27001-2022|A.7.9, ISO-27001-2022|A.8.1, ISO/IEC-27001|A.6.2.1, ITSG-33|AC-19, LEVEL|BLA, NIAv2|OS5, QCSC-v1|3.2, QCSC-v1|5.2.2, QCSC-v1|13.2
Policy Value:
1
Actual Value:
1</t>
  </si>
  <si>
    <t>"4.11.28.3.2 (L2) Ensure 'Join Microsoft MAPS' is set to 'Disabled': [FAILED]"
This policy setting allows you to join Microsoft Active Protection Service (MAPS), which Microsoft renamed to
Windows Defender Antivirus Cloud Protection Service
and then
Microsoft Defender Antivirus Cloud Protection Service
. Microsoft MAPS / Microsoft Defender Antivirus Cloud Protection Service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definitions and help it to protect your computer.
Possible options are:
 - (0x0) Disabled (default)
 - (0x1) Basic membership
 -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The recommended state for this setting is: Disabled
Note: In Windows 10 and above, Basic membership is no longer available, so setting the value to 1 Basic, or 2 Advanced, enrolls the device into Advanced membership. For more information, please visit:
Turn on cloud protection in Microsoft Defender Antivirus - Microsoft Defender for Endpoint | Microsoft Learn
.
The information that would be sent can include things like location of detected items on your computer if harmful software was removed. The information would be automatically collected and sent. In some instances personal information might unintentionally be sent to Microsoft. However, Microsoft states that it will not use this information to identify you or contact you.
For privacy reasons in high security environments, it is best to prevent these data submissions altogether.
Solution:
To establish the recommended configuration via configuration profiles, set the following Settings Catalog path to Disabled
Administrative Templates\Windows Components\Microsoft Defender Antivirus\MAPS\Join Microsoft MAPS
Impact:
None - this is the default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2</t>
  </si>
  <si>
    <t>"4.10.20.1.10 (L2) Ensure 'Turn off the 'Publish to Web' task for files and folders' is set to 'Enabled': [PASSED]"
This policy setting specifies whether the tasks Publish this file to the Web, Publish this folder to the Web, and Publish the selected items to the Web are available from File and Folder Tasks in Windows folders. The Web Publishing wizard is used to download a list of providers and allow users to publish content to the Web.
The recommended state for this setting is: Enabled
Users may publish confidential or sensitive information to a public service outside of the control of the organization.
Solution:
To establish the recommended configuration via configuration profiles, set the following Settings Catalog path to Enabled
Administrative Templates\System\Internet Communication Management\Internet Communication settings\Turn off the 'Publish to Web' task for files and folders
Impact:
The 'Publish to Web' task is removed from File and Folder tasks in Windows folders.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</si>
  <si>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"81.18 (L2) Ensure 'Remote Desktop Services (TermService)' is set to 'Disabled': [PASSED]"
Allows users to connect interactively to a remote computer. Remote Desktop and Remote Desktop Session Host Server depend on this service.
The recommended state for this setting is: Disabled
In a high security environment, Remote Desktop access is an increased security risk. For these environments, only local console access should be permitted.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TermService -StartupType Disabled
Impact:
Remote Desktop Services will not be available on the computer.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</si>
  <si>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"4.11.7.1.2 (BL) Ensure 'Choose how BitLocker-protected fixed drives can be recovered: Recovery Key' is set to 'Enabled: Allow 256-bit recovery key': [FAILED]"
This policy setting allows you to control how BitLocker-protected fixed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Allow 256-bit recovery key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Allow 256-bit recovery key
Administrative Templates\Windows Components\BitLocker Drive Encryption\Fixed Data Drives\Choose how BitLocker-protected fixed drives can be recovered: Recovery Key
Impact:
A 256-bit recovery key will be permitted for fixed drives.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2
Actual Value:
1</t>
  </si>
  <si>
    <t>"81.6 (L2) Ensure 'Geolocation Service (lfsvc)' is set to 'Disabled': [PASSED]"
This service monitors the current location of the system and manages geofences (a geographical location with associated events).
The recommended state for this setting is: Disabled
This setting affects the location feature (e.g. GPS or other location tracking). From a security perspective, it's not a good idea to reveal your location to software in most cases, but there are legitimate uses, such as mapping software. However, they should not be used in high security environments.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lfsvc -StartupType Disabled
Impact:
Applications will be unable to use or receive notifications for geolocation or geofences.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</si>
  <si>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"4.11.7.1.4 (BL) Ensure 'Choose how BitLocker-protected fixed drives can be recovered: Allow data recovery agent' is set to 'Enabled: True': [PASSED]"
This policy setting allows you to control how BitLocker-protected fixed data drives are recovered in the absence of the required credentials. This policy setting is applied when you turn on BitLocker.
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The recommended state for this setting is: Enabled: True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True
Administrative Templates\Windows Components\BitLocker Drive Encryption\Fixed Data Drives\Choose how BitLocker-protected fixed drives can be recovered: Allow data recovery agent
Impact:
None - this is the default behavior.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</si>
  <si>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"4.11.7.1.8 (BL) Ensure 'Choose how BitLocker-protected fixed drives can be recovered: Save BitLocker recovery information to AD DS for fixed data drives' is set to 'Enabled: False': [FAILED]"
This policy setting allows you to control how BitLocker-protected fixed data drives are recovered in the absence of the required credentials. This policy setting is applied when you turn on BitLocker.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False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False
Administrative Templates\Windows Components\BitLocker Drive Encryption\Fixed Data Drives\Choose how BitLocker-protected fixed drives can be recovered: Save BitLocker recovery information to AD DS for fixed data drives
Impact:
None - this is the default behavior.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0
Actual Value:
1</t>
  </si>
  <si>
    <t>"81.9 (L2) Ensure 'Link-Layer Topology Discovery Mapper (lltdsvc)' is set to 'Disabled': [PASSED]"
Creates a Network Map, consisting of PC and device topology (connectivity) information, and metadata describing each PC and device.
The recommended state for this setting is: Disabled
The feature that this service enables could potentially be used for unauthorized discovery and connection to network devices. Disabling the service helps to prevent responses to requests for network topology discovery in high security environments.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lltdsvc -StartupType Disabled
Impact:
The Network Map will not function properly.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</si>
  <si>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"8.3 (BL) Ensure 'Allow Warning For Other Disk Encryption: Allow Standard User Encryption' is set to 'Enabled': [PASSED]"
This setting allows Admins to enforce 'Require Device Encryption' policy for scenarios where policy is pushed while current logged-on user is non-admin/standard user.
This policy is tied to 'Allow Warning For Other Disk Encryption' policy being set to '0', i.e, Silent encryption is enforced.
If 'Allow Warning For Other Disk Encryption' isn't set, or is set to '1', 'Require Device Encryption' policy won't try to encrypt drive(s) if a standard user is the current logged-on user in the system.
The recommended state for this setting is: Enabled
Enabling this ensures all fixed drives are encrypted regardless of the privileges assigned to the currently logged in user.
Solution:
To establish the recommended configuration via configuration profiles, set the following Settings Catalog path to Enabled :
Bitlocker\Allow Standard User Encryption
Impact:
Enabling BitLocker on a device with third party encryption may render the device unusable and will require reinstallation of Windows.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</si>
  <si>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"4.11.36.4.10.2 (L2) Ensure 'Set time limit for disconnected sessions' is set to 'Enabled: 1 minute': [PASSED]"
This policy setting allows you to configure a time limit for disconnected Remote Desktop Services sessions.
The recommended state for this setting is: Enabled: 1 minute
This setting helps to prevent active Remote Desktop sessions from tying up the computer for long periods of time while not in use, preventing computing resources from being consumed by large numbers of disconnected but still active sessions. In addition, old, forgotten Remote Desktop sessions that are still active can cause password lockouts if the user's password has changed but the old session is still running. For systems that limit the number of connected users (e.g. servers in the default Administrative mode - 2 sessions only), other users' old but still active sessions can prevent another user from connecting, resulting in an effective denial of service. This setting is important to ensure a disconnected session is properly terminated.
In addition, session timeouts that are misconfigured or set for a long period of time can leave the system open to an attacker hijacking the session.
Solution:
To establish the recommended configuration via configuration profiles, set the following Settings Catalog path to Enabled: 1 minute
Administrative Templates\Windows Components\Remote Desktop Services\Remote Desktop Session Host\Session Time Limits\Set time limit for disconnected sessions
Impact:
Disconnected Remote Desktop sessions are deleted from the server after 1 minute. Note that disconnected session time limits do not apply to console sessions.
See Also:
https://workbench.cisecurity.org/benchmarks/21719
Reference:
800-171|3.1.10, 800-171r3|03.01.10, 800-53|AC-11, 800-53r5|AC-11, CN-L3|8.1.4.1(b), CSCv7|16.11, GDPR|32.1.b, HIPAA|164.306(a)(1), HIPAA|164.312(a)(2)(iii), ISO-27001-2022|A.7.7, ISO-27001-2022|A.8.1, ISO/IEC-27001|A.11.2.8, ITSG-33|AC-11, LEVEL|2A, NIAv2|AM23c, NIAv2|AM23d, PCI-DSSv3.2.1|8.1.8, PCI-DSSv4.0|8.2.8
Policy Value:
60000
Actual Value:
60000</t>
  </si>
  <si>
    <t>"26.7 (L1) Ensure 'Device Password Enabled: Max Inactivity Time Device Lock' is set to '15 or fewer minutes, but not 0': [PASSED]"
Windows notices inactivity of a logon session, and if the amount of inactive time exceeds the inactivity limit, then the screen saver will run, locking the session.
The recommended state for this setting is: 15 or fewer minutes, but not 0
Note: A value of 0 does not conform to the benchmark as it disables the machine inactivity limit.
If a user forgets to lock their computer when they walk away it's possible that a passerby will hijack it.
Solution:
To establish the recommended configuration via configuration profiles, set the following Settings Catalog path to 15 or fewer minutes, but not 0 :
Device Lock\Device Password Enabled: Max Inactivity Time Device Lock
Impact:
The screen saver will automatically activate when the computer has been unattended for the amount of time specified. The impact should be minimal since the screen saver is enabled by default.
See Also:
https://workbench.cisecurity.org/benchmarks/21719
Reference:
800-171|3.1.8, 800-171|3.1.18, 800-171r3|03.01.08, 800-171r3|03.01.18, 800-53|AC-7, 800-53|AC-19, 800-53r5|AC-7, 800-53r5|AC-19, CN-L3|8.1.4.1(b), CSCv7|16.2, CSCv7|16.11, CSCv8|4.10, CSF|PR.AC-3, CSF2.0|PR.AA-03, CSF2.0|PR.AA-05, GDPR|32.1.b, HIPAA|164.306(a)(1), ISO-27001-2022|A.5.14, ISO-27001-2022|A.7.9, ISO-27001-2022|A.8.1, ISO-27001-2022|A.8.5, ISO/IEC-27001|A.6.2.1, ITSG-33|AC-7, ITSG-33|AC-19, LEVEL|1A, NIAv2|AM24, QCSC-v1|3.2, QCSC-v1|5.2.2, QCSC-v1|13.2, TBA-FIISB|36.2.4, TBA-FIISB|45.1.2
Policy Value:
[1..15]
Actual Value:
10</t>
  </si>
  <si>
    <t>"4.11.7.2.10 (BL) Ensure 'Require additional authentication at startup: Configure TPM startup key and PIN:' is set to 'Enabled: Do not allow startup key and PIN with TPM': [PASSED]"
This policy setting allows you to configure whether BitLocker requires additional authentication each time the computer starts. This policy setting is applied when you turn on BitLocker.
Note: Only one of the additional authentication options can be
required
at startup, otherwise a policy error occurs.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Note #2: If you want to require the use of a startup PIN and a USB flash drive, you must configure BitLocker settings using the command-line tool manage-bde instead of the BitLocker Drive Encryption setup wizard.
The recommended state for this setting is: Enabled: Do not allow startup key and PIN with TPM
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
Solution:
To establish the recommended configuration via configuration profiles, set the following Settings Catalog path to Enabled: Do not allow startup key and PIN with TPM
Administrative Templates\Windows Components\BitLocker Drive Encryption\Operating System Drives\Require additional authentication at startup: Configure TPM startup key and PIN:
Impact:
A TPM, PIN
and
startup key will not be a permitted combination for BitLocker authentication. A PIN requires physical presence to restart the computer. This functionality is not compatible with Wake on LAN solutions.
See Also:
https://workbench.cisecurity.org/benchmarks/21719
Reference:
800-171|3.1.19, 800-171r3|03.01.18c., 800-53|AC-19(5), 800-53r5|AC-19(5), CSCv7|13.6, CSF|PR.AC-3, CSF2.0|PR.AA-05, GDPR|32.1.b, HIPAA|164.306(a)(1), ISO-27001-2022|A.5.14, ISO-27001-2022|A.7.9, ISO-27001-2022|A.8.1, ISO/IEC-27001|A.6.2.1, ITSG-33|AC-19, LEVEL|BLA, NIAv2|OS5, QCSC-v1|3.2, QCSC-v1|5.2.2, QCSC-v1|13.2
Policy Value:
0
Actual Value:
0</t>
  </si>
  <si>
    <t>"4.11.7.2.5 (BL) Ensure 'Choose how BitLocker-protected operating system drives can be recovered: Configure storage of BitLocker recovery information to AD DS:' is set to 'Enabled: Store recovery passwords and key packages': [PASSED]"
This policy setting allows you to control how BitLocker-protected operating system drives are recovered in the absence of the required startup key information. This policy setting is applied when you turn on BitLocker.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Store recovery passwords and key packages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Store recovery passwords and key packages
Administrative Templates\Windows Components\BitLocker Drive Encryption\Operating System Drives\Choose how BitLocker-protected operating system drives can be recovered: Configure storage of BitLocker recovery information to AD DS:
Impact:
Both the recovery password and the key package for the operating system drive will be saved to AD DS.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</si>
  <si>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"4.5.4 (L2) Ensure 'MSS: (DisableSavePassword) Prevent the dial-up password from being saved (recommended)' is set to 'Enabled': [PASSED]"
When you dial a phonebook or VPN entry in Dial-Up Networking, you can use the 'Save Password' option so that your Dial-Up Networking password is cached and you will not need to enter it on successive dial attempts. For security, administrators may want to prevent users from caching passwords.
The recommended state for this setting is: Enabled
An attacker who steals a mobile user's computer could automatically connect to the organization's network if the Save This Password check box is selected for the dial-up or VPN networking entry used to connect to your organization's network.
Solution:
To establish the recommended configuration via configuration profiles, set the following Settings Catalog path to Enabled
Administrative Templates\MSS (Legacy)\MSS:(DisableSavePassword) Prevent the dial-up password from being saved (recommended)
Impact:
Users will not be able to automatically store their logon credentials for dial-up and VPN connections.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LEVEL|2A, NESA|T1.2.1, NESA|T1.2.2, NESA|T3.2.5, NESA|T3.4.1, NESA|T4.5.3, NESA|T4.5.4, NESA|T7.2.1, NESA|T7.5.1, NESA|T7.5.3, NESA|T7.6.1, NESA|T7.6.2, NESA|T7.6.3, NESA|T7.6.5, NIAv2|SS3, NIAv2|SS15a, NIAv2|SS16, NIAv2|VL2, PCI-DSSv3.2.1|2.2.2, QCSC-v1|3.2, QCSC-v1|4.2, QCSC-v1|5.2.1, QCSC-v1|5.2.2, SWIFT-CSCv1|2.3
Policy Value:
1
Actual Value:
1</t>
  </si>
  <si>
    <t>"55.5 (L2) Ensure 'Disable Store Originated Apps' is set to 'Enabled': [FAILED]"
This setting configures the launch of all apps from the Microsoft Store that came pre-installed or were downloaded.
The recommended state for this setting is: Enabled
Note: This policy setting only applies to Windows 10 Enterprise and Windows 10 Education editions.
The Store service is a retail outlet built into Windows, primarily for consumer use. In an enterprise managed environment the IT department should be managing the installation of all applications to reduce the risk of the installation of vulnerable software.
Solution:
To establish the recommended configuration via configuration profiles, set the following Settings Catalog path to Enabled :
Microsoft App Store\Disable Store Originated Apps
Impact:
All apps from the Microsoft Store that came pre-installed or were downloaded are prevented from launching. Existing Microsoft Store apps will not be updated. Microsoft Store is disabled.
See Also:
https://workbench.cisecurity.org/benchmarks/21719
Reference:
800-171|3.4.8, 800-171r3|03.04.08, 800-53|CM-7(5), 800-53|CM-10, 800-53r5|CM-7(5), 800-53r5|CM-10, CSCv7|9.2, CSCv8|2.5, CSF|DE.CM-3, CSF|PR.IP-1, CSF|PR.PT-3, CSF2.0|DE.CM-03, CSF2.0|DE.CM-09, CSF2.0|PR.PS-01, GDPR|32.1.b, HIPAA|164.306(a)(1), ISO-27001-2022|A.5.32, ISO-27001-2022|A.8.19, ISO/IEC-27001|A.12.5.1, ISO/IEC-27001|A.12.6.2, ITSG-33|CM-7, LEVEL|2A, NIAv2|SS15a, PCI-DSSv3.2.1|2.2.2, QCSC-v1|3.2, QCSC-v1|8.2.1, SWIFT-CSCv1|2.3, TBA-FIISB|44.2.2, TBA-FIISB|49.2.3
Policy Value:
1
Actual Value:
0</t>
  </si>
  <si>
    <t>"4.11.7.2.1 (BL) Ensure 'Choose how BitLocker-protected operating system drives can be recovered' is set to 'Enabled': [PASSED]"
This policy setting allows you to control how BitLocker-protected operating system drives are recovered in the absence of the required startup key information. This policy setting is applied when you turn on BitLocker.
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
Note: If the 'Do not enable BitLocker until recovery information is stored in AD DS for operating system drives' check box is selected, a recovery password is automatically generated.
The recommended state for this setting is: Enabled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Administrative Templates\Windows Components\BitLocker Drive Encryption\Operating System Drives\Choose how BitLocker-protected operating system drives can be recovered
Impact: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</si>
  <si>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"81.17 (L2) Ensure 'Remote Desktop Configuration (SessionEnv)' is set to 'Disabled': [PASSED]"
Remote Desktop Configuration service (RDCS) is responsible for all Remote Desktop related configuration and session maintenance activities that require SYSTEM context. These include per-session temporary folders, RD themes, and RD certificates.
The recommended state for this setting is: Disabled
In a high security environment, Remote Desktop access is an increased security risk. For these environments, only local console access should be permitted.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SessionEnv -StartupType Disabled
Impact:
Users will be unable to use Remote Assistance.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</si>
  <si>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"4.11.7.6 (BL) Ensure 'Choose drive encryption method and cipher strength (Windows 10 [Version 1511] and later): Select the encryption method for removable data drives' is set to 'XTS-AES 128-bit' or higher: [PASSED]"
This policy setting determines which encryption method should be used for operating system drives.
The recommended state for this setting is: XTS-AES 128-bit or XTS-AES 256-bit
The default value of AES-CBC 128-bit is used for backwards compatibility with other operating systems. Using the other available ciphers will increase the level of security for sensitive data, but it may impact compatibility with other operating systems.
This setting is included in the benchmark because it is automatically added when 'Choose drive encryption method and cipher strength' is enabled. System administrators should use the most secure cipher available to them whenever possible.
Solution:
To establish the recommended configuration via configuration profiles, set the following Settings Catalog path to: XTS-AES 128-bit or XTS-AES 256-bit
Administrative Templates\Windows Components\BitLocker Drive Encryption\Choose drive encryption method and cipher strength (Windows 10 [Version 1511] and later)\Select the encryption method for removable data drives:
Impact:
Using settings beyond the default value of AES-CBC 128-bit may decrease the backwards compatibility of encrypted removable drives when used in other systems.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6 || 7
Actual Value:
6</t>
  </si>
  <si>
    <t>"54.1 (L2) Ensure 'Allow Message Sync' is set to 'message sync is not allowed and cannot be changed by the user.': [PASSED]"
This policy setting allows backup and restore of cellular text messages to Microsoft's cloud services.
The recommended state for this setting is: message sync is not allowed and cannot be changed by the user.
In a high security environment, data should never be sent to any third-party since this data could contain sensitive information.
Solution:
To establish the recommended configuration via configuration profiles, set the following Settings Catalog path to message sync is not allowed and cannot be changed by the user.:
Messaging\Allow Message Sync
Impact:
Cellular text messages will not be backed up to (or restored from) Microsoft's cloud services.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</si>
  <si>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"4.5.6 (L2) Ensure 'MSS: (KeepAliveTime) How often keep-alive packets are sent in milliseconds' is set to 'Enabled: 300,000 or 5 minutes (recommended)': [PASSED]"
This value controls how often TCP attempts to verify that an idle connection is still intact by sending a keep-alive packet. If the remote computer is still reachable, it acknowledges the keep-alive packet.
The recommended state for this setting is: Enabled: 300,000 or 5 minutes (recommended)
An attacker who is able to connect to network applications could establish numerous connections to cause a DoS condition.
Solution:
To establish the recommended configuration via configuration profiles, set the following Settings Catalog path to Enabled: 300,000 or 5 minutes (recommended)
Administrative Templates\MSS (Legacy)\MSS: (KeepAliveTime) How often keep-alive packets are sent in milliseconds
Impact:
Keep-alive packets are not sent by default by Windows. However, some applications may configure the TCP stack flag that requests keep-alive packets. For such configurations, you can lower this value from the default setting of two hours to five minutes to disconnect inactive sessions more quickly.
See Also:
https://workbench.cisecurity.org/benchmarks/21719
Reference:
800-171|3.13.1, 800-171r3|03.13.01, 800-53|SC-7(12), 800-53r5|SC-7(12), CN-L3|8.1.10.6(j), CSF|DE.CM-1, CSF|PR.AC-5, CSF|PR.DS-5, CSF|PR.PT-4, CSF2.0|DE.CM-01, CSF2.0|PR.DS-01, CSF2.0|PR.DS-02, CSF2.0|PR.DS-10, CSF2.0|PR.IR-01, GDPR|32.1.b, HIPAA|164.306(a)(1), ISO-27001-2022|A.5.14, ISO-27001-2022|A.8.16, ISO-27001-2022|A.8.20, ISO/IEC-27001|A.13.1.3, ITSG-33|SC-7(12), LEVEL|2A, NESA|T4.5.4, NIAv2|AM38, NIAv2|SS13d, NIAv2|SS26, PCI-DSSv3.2.1|1.4, PCI-DSSv4.0|1.5.1, QCSC-v1|5.2.1, QCSC-v1|5.2.2, QCSC-v1|6.2, QCSC-v1|8.2.1, TBA-FIISB|43.1
Policy Value:
[0..300000]
Actual Value:
300000</t>
  </si>
  <si>
    <t>"81.4 (L2) Ensure 'Downloaded Maps Manager (MapsBroker)' is set to 'Disabled': [PASSED]"
Windows service for application access to downloaded maps. This service is started on-demand by application accessing downloaded maps.
Mapping technologies can unwillingly reveal your location to attackers and other software that picks up the information. In addition, automatic downloads of data from third-party sources should be minimized when not needed. Therefore, this service should not be needed in high security environments.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MapsBroker -StartupType Disabled
Impact:
Applications will be prevented from accessing maps data.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</si>
  <si>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"4.11.36.4.2.1 (L2) Ensure 'Allow users to connect remotely by using Remote Desktop Services' is set to 'Disabled': [PASSED]"
This policy setting allows you to configure remote access to computers by using Remote Desktop Services.
The recommended state for this setting is: Disabled
Any account with the
Allow log on through Remote Desktop Services
user right can log on to the remote console of the computer. If you do not restrict access to legitimate users who need to log on to the console of the computer, unauthorized users could download and execute malicious code to elevate their privileges.
Solution:
To establish the recommended configuration via configuration profiles, set the following Settings Catalog path to Disabled
Administrative Templates\Windows Components\Remote Desktop Services\Remote Desktop Session Host\Connections\Allow users to connect remotely by using Remote Desktop Services
Impact:
None - this is the default configuration, unless Remote Desktop Services has been manually enabled on the Remote tab in the System Properties sheet.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</si>
  <si>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"26.6 (L1) Ensure 'Device Password Enabled: Max Device Password Failed Attempts' is set to '5 or fewer failed attempt(s), but not 0': [PASSED]"
This policy setting determines the number of failed logon attempts before the account is locked. Setting this policy to 0 does not conform to the benchmark as doing so disables the account lockout threshold.
The recommended state for this setting is: 5 or fewer invalid logon attempt(s), but not 0
Note: When a user reaches the value set by this policy, the system is not wiped, instead the system will be in BitLocker recovery mode, which makes data inaccessible but recoverable. If BitLocker is not enabled, then this policy will not be enforced.
Setting an account lockout threshold reduces the likelihood that an online password brute force attack will be successful. Setting the account lockout threshold too low introduces risk of increased accidental lockouts and/or a malicious actor intentionally locking out accounts.
Solution:
To establish the recommended configuration via configuration profiles, set the following Settings Catalog path to 5 or fewer invalid logon attempt(s), but not 0 :
Device Lock\Device Password Enabled: Max Device Password Failed Attempts
Impact:
If this policy setting is enabled, a locked-out account will not be usable until it is reset by an administrator or until the account lockout duration expires. This setting may generate additional help desk calls.
If you enforce this setting an attacker could cause a denial-of-service condition by deliberately generating failed logons for multiple users, therefore you should also configure the Account Lockout Duration to a relatively low value.
If you configure the Account Lockout Threshold to 0, there is a possibility that an attacker's attempt to discover passwords with a brute force password attack might go undetected if a robust audit mechanism is not in place.
See Also:
https://workbench.cisecurity.org/benchmarks/21719
Reference:
800-171|3.1.8, 800-171|3.1.18, 800-171r3|03.01.08, 800-171r3|03.01.18, 800-53|AC-7, 800-53|AC-19, 800-53r5|AC-7, 800-53r5|AC-19, CN-L3|8.1.4.1(b), CSCv7|16.2, CSCv7|16.11, CSCv8|4.10, CSF|PR.AC-3, CSF2.0|PR.AA-03, CSF2.0|PR.AA-05, GDPR|32.1.b, HIPAA|164.306(a)(1), ISO-27001-2022|A.5.14, ISO-27001-2022|A.7.9, ISO-27001-2022|A.8.1, ISO-27001-2022|A.8.5, ISO/IEC-27001|A.6.2.1, ITSG-33|AC-7, ITSG-33|AC-19, LEVEL|1A, NIAv2|AM24, QCSC-v1|3.2, QCSC-v1|5.2.2, QCSC-v1|13.2, TBA-FIISB|36.2.4, TBA-FIISB|45.1.2
Policy Value:
[1..5]
Actual Value:
5</t>
  </si>
  <si>
    <t>"81.37 (L2) Ensure 'WinHTTP Web Proxy Auto-Discovery Service (WinHttpAutoProxySvc)' is set to 'Disabled': [FAILED]"
WinHTTP implements the client HTTP stack and provides developers with a Win32 API and COM Automation component for sending HTTP requests and receiving responses. In addition, WinHTTP provides support for auto-discovering a proxy configuration via its implementation of the Web Proxy Auto-Discovery (WPAD) protocol.
The recommended state for this setting is: Disabled
Note: Although CIS categorizes this as a L2 recommendation, if none of the cases listed in the Impact Section apply, we highly recommend disabling this service.
This service is primarily needed to support Web Proxy Auto-Discovery (WPAD), which is an auto-proxy discovery mechanism that could expose the computer to Man-In-The-Middle (MITM) attacks. If an organization depends on HTTP proxy configuration, it is recommended that other client configuration mechanisms be used instead, such as Group Policy.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WinHttpAutoProxySvc -StartupType Disabled
Impact:
WPAD will cease to function for automatic HTTP proxy routing, which may prevent Internet connectivity for workstations in organizations that currently use WPAD. Microsoft also cautions that some software that uses the network stack may have a functional dependency on this service, so it is advised that you test disabling this service on a representation of user workstations and applications before disabling it across the entire organization.
Beginning with Windows 10 Release 1709, Microsoft changed the WPAD service to tightly integrate it with all proxy activity. Disabling this service now has these additional impacts:
 - The ability to set a manual (not just auto) proxy configuration.
 - Some VPN clients require the WPAD service, so disabling WPAD breaks them.
 - Some network-related applications will not work without WPAD running (e.g. Fiddler).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3</t>
  </si>
  <si>
    <t>"4.11.7.1.1 (BL) Ensure 'Choose how BitLocker-protected fixed drives can be recovered' is set to 'Enabled': [PASSED]"
This policy setting allows you to control how BitLocker-protected fixed data drives are recovered in the absence of the required credentials. This policy setting is applied when you turn on BitLocker.
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fixed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The recommended state for this setting is: Enabled
Administrators should always have a safe, secure way to access encrypted data in the event users cannot access their data.
Additionally, as with any authentication method, a drive can be compromised by guessing or finding the authentication information used to access the drive.
Solution:
To establish the recommended configuration via configuration profiles, set the following Settings Catalog path to Enabled
Administrative Templates\Windows Components\BitLocker Drive Encryption\Fixed Data Drives\Choose how BitLocker-protected fixed drives can be recovered
Impact:
To use BitLocker, a Data Recovery Agent will need to be configured for fixed drives. To recover a drive will require highly-controlled access to the Data Recovery Agent private key.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</si>
  <si>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"81.25 (L2) Ensure 'SNMP Service (SNMP)' is set to 'Disabled' or 'Not Installed': [PASSED]"
Enables Simple Network Management Protocol (SNMP) requests to be processed by this computer.
The recommended state for this setting is: Disabled or Not Installed
Note: This service is not installed by default. It is supplied with Windows, but is installed by enabling an optional Windows feature (
Simple Network Management Protocol (SNMP)
).
Features that enable inbound network connections increase the attack surface. In a high security environment, management of secure workstations should be handled locally.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SNMP -StartupType Disabled
Impact:
The computer will be unable to process SNMP requests.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NULL</t>
  </si>
  <si>
    <t>"22.24 (L2) Ensure 'Enable Convert Warn To Block' is set to 'Warn verdicts are converted to block': [PASSED]"
This policy setting controls whether Microsoft Defender Antivirus network protection will display a warning, or block network traffic.
The recommended state for this setting is: Warn verdicts are converted to block
Potentially suspicious network traffic should be blocked until it has been reviewed, and an exception has been granted.
Solution:
To establish the recommended configuration via configuration profiles, set the following Settings Catalog path to Warn verdicts are converted to block
Defender\Enable Convert Warn To Block
Impact:
Legitimate network traffic could be blocked by Microsoft Defender Antivirus network protection.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LEVEL|2A, NIAv2|GS8a, PCI-DSSv3.2.1|5.1, PCI-DSSv3.2.1|5.1.1, PCI-DSSv4.0|5.2.1, QCSC-v1|3.2, QCSC-v1|5.2.3, QCSC-v1|8.2.1, TBA-FIISB|49.2.1, TBA-FIISB|49.2.2, TBA-FIISB|49.3.1, TBA-FIISB|49.3.2, TBA-FIISB|50.2.1, TBA-FIISB|51.2.4, TBA-FIISB|51.2.7
Policy Value:
1
Actual Value:
1</t>
  </si>
  <si>
    <t>"4.10.20.1.1 (L2) Ensure 'Turn off access to the Store' is set to 'Enabled': [PASSED]"
This policy setting specifies whether to use the Store service for finding an application to open a file with an unhandled file type or protocol association. When a user opens a file type or protocol that is not associated with any applications on the computer, the user is given the choice to select a local application or use the Store service to find an application.
The recommended state for this setting is: Enabled
The Store service is a retail outlet built into Windows, primarily for consumer use. In an enterprise managed environment the IT department should be managing the installation of all applications to reduce the risk of the installation of vulnerable software.
Solution:
To establish the recommended configuration via configuration profiles, set the following Settings Catalog path to Enabled
Administrative Templates\System\Internet Communication Management\Internet Communication settings\Turn off access to the Store
Impact:
The 'Look for an app in the Store' item in the Open With dialog is removed.
See Also:
https://workbench.cisecurity.org/benchmarks/21719
Reference:
800-171|3.4.8, 800-171r3|03.04.08, 800-53|CM-7(5), 800-53|CM-10, 800-53r5|CM-7(5), 800-53r5|CM-10, CSCv7|9.2, CSCv8|2.5, CSF|DE.CM-3, CSF|PR.IP-1, CSF|PR.PT-3, CSF2.0|DE.CM-03, CSF2.0|DE.CM-09, CSF2.0|PR.PS-01, GDPR|32.1.b, HIPAA|164.306(a)(1), ISO-27001-2022|A.5.32, ISO-27001-2022|A.8.19, ISO/IEC-27001|A.12.5.1, ISO/IEC-27001|A.12.6.2, ITSG-33|CM-7, LEVEL|2A, NIAv2|SS15a, PCI-DSSv3.2.1|2.2.2, QCSC-v1|3.2, QCSC-v1|8.2.1, SWIFT-CSCv1|2.3, TBA-FIISB|44.2.2, TBA-FIISB|49.2.3
Policy Value:
1
Actual Value:
1</t>
  </si>
  <si>
    <t>"81.31 (L2) Ensure 'Windows Event Collector (Wecsvc)' is set to 'Disabled': [PASSED]"
This service manages persistent subscriptions to events from remote sources that support WS-Management protocol. This includes Windows Vista event logs, hardware and IPMI-enabled event sources. The service stores forwarded events in a local Event Log.
The recommended state for this setting is: Disabled
In a high security environment, remote connections to secure workstations should be minimized, and management functions should be done locally.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Wecsvc -StartupType Disabled
Impact:
If this service is stopped or disabled event subscriptions cannot be created and forwarded events cannot be accepted.
Note: Many remote management tools and third-party security audit tools depend on this service.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</si>
  <si>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"4.11.54.1 (L2) Ensure 'Turn on PowerShell Script Block Logging' is set to 'Enabled': [PASSED]"
This policy setting enables logging of all PowerShell script input to the Applications and Services Logs\Microsoft\Windows\PowerShell\Operational Event Log channel.
The recommended state for this setting is: Enabled
Note: If logging of
Script Block Invocation Start/Stop Events
is enabled (option box checked), PowerShell will log additional events when invocation of a command, script block, function, or script starts or stops. Enabling this option generates a high volume of event logs. CIS has intentionally chosen not to make a recommendation for this option, since it generates a large volume of events. If an organization chooses to enable the optional setting (checked), this also conforms to the benchmark.
Logs of PowerShell script input can be very valuable when performing forensic investigations of PowerShell attack incidents to determine what occurred.
Solution:
To establish the recommended configuration via configuration profiles, set the following Settings Catalog path to Enabled
Administrative Templates\Windows Components\Windows PowerShell\Turn on PowerShell Script Block Logging
Impact:
PowerShell script input will be logged to the Applications and Services Logs\Microsoft\Windows\PowerShell\Operational Event Log channel, which can contain credentials and sensitive information.
Note: Configuring this setting to Enabled generates a high volume of event logs which will be overwritten if the log size is not expanded or offloaded to a log collection system.
Warning: There are potential risks of capturing credentials and sensitive information in the PowerShell logs, which could be exposed to users who have read-access to those logs. Microsoft provides a feature called 'Protected Event Logging' to better secure event log data. For assistance with protecting event logging, visit:
About Logging Windows - PowerShell | Microsoft Docs
.
See Also:
https://workbench.cisecurity.org/benchmarks/21719
Reference:
800-171|3.3.1, 800-171|3.3.2, 800-171r3|03.03.01, 800-53|AU-2, 800-53r5|AU-2, CN-L3|8.1.4.3(a), CSCv7|8.8, CSCv8|8.8, CSF|PR.PT-1, CSF2.0|PR.PS-04, GDPR|32.1.b, HIPAA|164.306(a)(1), HIPAA|164.312(b), ISO-27001-2022|A.8.15, ITSG-33|AU-2, LEVEL|2A, NESA|M1.2.2, NESA|M5.5.1, NIAv2|AM7, NIAv2|AM11a, NIAv2|AM11b, NIAv2|AM11c, NIAv2|AM11d, NIAv2|AM11e, NIAv2|SS30, NIAv2|VL8, QCSC-v1|8.2.1, QCSC-v1|13.2, SWIFT-CSCv1|6.4
Policy Value:
1
Actual Value:
1</t>
  </si>
  <si>
    <t>"4.11.7.2.14 (BL) Ensure 'Enforce drive encryption type on operating system drives: Select the encryption type: (Device)' is set to 'Enabled: Used Space Only encryption' or 'Enabled: Full encryption': [FAILED]"
This policy setting configures the encryption type (space only and whole) used by BitLocker Drive Encryption.
The recommended state for this setting is: Enabled: Used Space Only encryption or Enabled: Full encryption
Note: Changing the encryption type does not affect drives that are already encrypted or if encryption is in progress.
Note #2: If the option
full encryption
is selected, the entire drive be encrypted. If the option
used space only encryption
is selected, only the portion of the drive used to store data will be encrypted.
The type of encryption (used space only or full) used by BitLocker should be an organizational decision and not an end user decision.
Solution:
To establish the recommended configuration via configuration profiles, set the following Settings Catalog path to Used Space Only encryption or Full encryption
Administrative Templates\Windows Components\BitLocker Drive Encryption\Operating System Drives\Enforce drive encryption type on operating system drives: Select the encryption type: (Device)
Impact:
An organization will have to choose which method is used when BitLocker is enabled. The end user will not be able to choose the encryption type.
Note: This policy is ignored when shrinking or expanding a volume, and BitLocker uses the current encryption method. Example: When a drive uses
Space Only encryption
and is expanded, the new free space isn't wiped as it is for a drive that uses
Full encryption
.
See Also:
https://workbench.cisecurity.org/benchmarks/21719
Reference:
800-171|3.13.16, 800-171r3|03.13.08, 800-53|SC-28(1), 800-53r5|SC-28(1), CN-L3|8.1.4.7(b), CN-L3|8.1.4.8(b), CSF|PR.DS-1, CSF2.0|PR.DS-01, GDPR|32.1.a, GDPR|32.1.b, HIPAA|164.306(a)(1), HIPAA|164.312(a)(2)(iv), HIPAA|164.312(e)(2)(ii), ISO-27001-2022|A.5.33, ITSG-33|SC-28(1), LEVEL|BLA, PCI-DSSv3.2.1|3.4, PCI-DSSv4.0|3.3.2, PCI-DSSv4.0|3.5.1, QCSC-v1|5.2.2, QCSC-v1|6.2, TBA-FIISB|28.1
Policy Value:
1 || 2
Actual Value:
NULL</t>
  </si>
  <si>
    <t>"80.5 (L2) Ensure 'Disable One Drive File Sync' is set to 'Sync Disabled': [FAILED]"
This policy setting lets you prevent apps and features from working with files on OneDrive using the Next Generation Sync Client.
The recommended state for this setting is: Sync Disabled
Enabling this setting prevents users from accidentally (or intentionally) uploading confidential or sensitive corporate information to the OneDrive cloud service using the Next Generation Sync Client.
Note: This security concern applies to
any
cloud-based file storage application installed on a workstation, not just the one supplied with Windows.
Solution:
To establish the recommended configuration via configuration profiles, set the following Settings Catalog path to Sync Disabled :
System\Disable One Drive File Sync
Impact:
Users can't access OneDrive from the OneDrive app and file picker. Windows Store apps can't access OneDrive using the WinRT API. OneDrive doesn't appear in the navigation pane in File Explorer. OneDrive files aren't kept in sync with the cloud. Users can't automatically upload photos and videos from the camera roll folder.
Note: If your organization uses Microsoft 365, be aware that this setting will prevent users from saving files to OneDrive/SkyDrive.
 -
Allow syncing OneDrive accounts for only specific organizations
- a computer-based setting that restricts OneDrive client connections to only approved tenant IDs.
 -
Prevent users from synchronizing personal OneDrive accounts
- a user-based setting that prevents use of consumer OneDrive (i.e. non-business).
See Also:
https://workbench.cisecurity.org/benchmarks/21719
Reference:
800-171|3.4.2, 800-171|3.4.6, 800-171|3.4.7, 800-171r3|03.04.02, 800-171r3|03.04.06, 800-53|CM-6, 800-53|CM-7, 800-53r5|CM-6, 800-53r5|CM-7, CSCv7|13.4, CSCv8|4.8, CSF|PR.IP-1, CSF|PR.PT-3, CSF2.0|DE.CM-09, CSF2.0|PR.PS-01, GDPR|32.1.b, HIPAA|164.306(a)(1), ISO-27001-2022|A.8.9, ITSG-33|CM-6, ITSG-33|CM-7, LEVEL|2A, NIAv2|SS15a, PCI-DSSv3.2.1|2.2.2, SWIFT-CSCv1|2.3
Policy Value:
1
Actual Value:
0</t>
  </si>
  <si>
    <t>"4.10.9.1.1 (BL) Ensure 'Prevent installation of devices using drivers that match these device setup classes' is set to 'Enabled': [FAILED]"
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Enabled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an attacker may be able to perform DMA attacks.
This issue is documented in Microsoft Knowledge Base article 2516445:
Blocking the SBP-2 driver and Thunderbolt controllers to reduce 1394 DMA and Thunderbolt DMA threats to BitLocker
.
Solution:
To establish the recommended configuration via configuration profiles, set the following Settings Catalog path to Enabled
Administrative Templates\System\Device Installation\Device Installation Restrictions\Prevent installation of devices using drivers that match these device setup classes
Impact:
Devices matching the specified device setup classes will be prevented from installation.
See Also:
https://workbench.cisecurity.org/benchmarks/21719
Reference:
800-171|3.8.7, 800-171r3|03.08.07, 800-53|MP-7, 800-53r5|MP-7, CN-L3|8.5.4.1(c), CSF|PR.PT-2, GDPR|32.1.b, HIPAA|164.306(a)(1), HIPAA|164.312(a)(1), ISO-27001-2022|A.5.10, ISO-27001-2022|A.7.10, ISO/IEC-27001|A.8.3.1, ISO/IEC-27001|A.8.3.3, LEVEL|BLA, NESA|T1.4.1
Policy Value:
1
Actual Value:
NULL</t>
  </si>
  <si>
    <t>"4.11.7.2.11 (BL) Ensure 'Require additional authentication at startup: Configure TPM startup key:' is set to 'Enabled: Do not allow startup key with TPM': [PASSED]"
This policy setting allows you to configure whether BitLocker requires additional authentication each time the computer starts. This policy setting is applied when you turn on BitLocker.
Note: Only one of the additional authentication options can be
required
at startup, otherwise a policy error occurs.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Note #2: If you want to require the use of a startup PIN and a USB flash drive, you must configure BitLocker settings using the command-line tool manage-bde instead of the BitLocker Drive Encryption setup wizard.
The recommended state for this setting is: Enabled: Do not allow startup key with TPM
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
Solution:
To establish the recommended configuration via configuration profiles, set the following Settings Catalog path to Enabled: Do not allow startup key with TPM
Administrative Templates\Windows Components\BitLocker Drive Encryption\Operating System Drives\Require additional authentication at startup: Configure TPM startup key:
Impact:
A TPM and a startup key will not be a permitted combination for BitLocker authentication.
See Also:
https://workbench.cisecurity.org/benchmarks/21719
Reference:
800-171|3.1.19, 800-171r3|03.01.18c., 800-53|AC-19(5), 800-53r5|AC-19(5), CSCv7|13.6, CSF|PR.AC-3, CSF2.0|PR.AA-05, GDPR|32.1.b, HIPAA|164.306(a)(1), ISO-27001-2022|A.5.14, ISO-27001-2022|A.7.9, ISO-27001-2022|A.8.1, ISO/IEC-27001|A.6.2.1, ITSG-33|AC-19, LEVEL|BLA, NIAv2|OS5, QCSC-v1|3.2, QCSC-v1|5.2.2, QCSC-v1|13.2
Policy Value:
0
Actual Value:
0</t>
  </si>
  <si>
    <t>"34.3 (L2) Ensure 'Allow Windows Spotlight (User)' is set to 'Block': [PASSED]"
This policy setting determines whether the all Windows Spotlight features are turned on/off (together).
The recommended state for this setting is: Block
Note:
Per Microsoft TechNet
, this policy setting only applies to Windows 10 Enterprise and Windows 10 Education editions.
Note #2: Setting this recommendation to Block also disables the Recommendation Allow Tailored Experiences With Diagnostic Data which was is included in the on-prem Workstation Benchmarks. It was not included in the Intune version since this setting is automatically disabled.
Disabling this setting will help ensure your data is not shared with any third party. The Windows Spotlight feature collects data and uses that data to display suggested apps as well as images from the internet.
Solution:
To establish the recommended configuration via configuration profiles, set the following Settings Catalog path to Block :
Experience\Allow Windows Spotlight (User)
Impact:
Windows Spotlight on lock screen, Windows tips, Microsoft consumer features and other related features will be turned off.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Compliant items:</t>
  </si>
  <si>
    <t>"4.11.7.3.2 (BL) Ensure 'Deny write access to removable drives not protected by BitLocker: Do not allow write access to devices configured in another organization' is set to 'Enabled: False': [PASSED]"
This policy setting configures whether the computer will be able to write data to BitLocker-protected removable drives that were configured in another organization.
The recommended state for this setting is: Enabled: False
Restricting write access to BitLocker-protected removable drives that were configured in another organization can hinder legitimate business operations where encrypted data sharing is necessary.
Solution:
To establish the recommended configuration via configuration profiles, set the following Settings Catalog path to Enabled: False
Administrative Templates\Windows Components\BitLocker Drive Encryption\Removable Data Drives\Deny write access to removable drives not protected by BitLocker: Do not allow write access to devices configured in another organization
Impact:
None - this is the default behavior.
See Also:
https://workbench.cisecurity.org/benchmarks/21719
Reference:
800-171|3.8.5, 800-171|3.8.7, 800-171r3|03.08.05, 800-171r3|03.08.07, 800-53|MP-5, 800-53|MP-7, 800-53r5|MP-7, CN-L3|8.5.4.1(c), CSCv7|13.6, CSCv7|13.8, CSCv8|3.9, CSF|PR.PT-2, GDPR|32.1.b, HIPAA|164.306(a)(1), HIPAA|164.312(a)(1), ISO-27001-2022|A.5.10, ISO-27001-2022|A.7.9, ISO-27001-2022|A.7.10, ISO/IEC-27001|A.8.3.1, ISO/IEC-27001|A.8.3.3, ITSG-33|MP-5, LEVEL|BLA, NESA|T1.4.1
Policy Value:
0
Actual Value:
0</t>
  </si>
  <si>
    <t>"81.5 (L2) Ensure 'GameInput Service (GameInputSvc)' is set to 'Disabled': [PASSED]"
This service enables the use of keyboards, mice, gamepads, and other input devices to be used with the GameInput API.
The recommended state for this setting is: Disabled
Note: GameInput service runs as LocalSystem in its own process of GameInputSvc.exe and doesn't share its process with other services.
GameInput API pipes input from keyboards, mice, gamepads, and other game controllers via Direct Memory Access (DMA) to decrease latency for gaming performance. This DMA use increases the risk of input data (especially keystrokes) being captured by a malicious attacker.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GameInputSvc -StartupType Disabled
Impact:
Input devices will not be able to utilize the GameInput API.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</si>
  <si>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"4.11.36.4.10.1 (L2) Ensure 'Set time limit for active but idle Remote Desktop Services sessions' is set to 'Enabled: 15 minutes or less, but not Never (0)': [PASSED]"
This policy setting allows you to specify the maximum amount of time that an active Remote Desktop Services session can be idle (without user input) before it is automatically disconnected.
The recommended state for this setting is: Enabled: 15 minutes or less, but not Never (0)
This setting helps to prevent active Remote Desktop sessions from tying up the computer for long periods of time while not in use, preventing computing resources from being consumed by large numbers of inactive sessions. In addition, old, forgotten Remote Desktop sessions that are still active can cause password lockouts if the user's password has changed but the old session is still running. For systems that limit the number of connected users (e.g. servers in the default Administrative mode - 2 sessions only), other users' old but still active sessions can prevent another user from connecting, resulting in an effective denial of service.
In addition, session timeouts that are misconfigured or set for a long period of time can leave the system open to an attacker hijacking the session.
Solution:
To establish the recommended configuration via configuration profiles, set the following Settings Catalog path to Enabled: 15 minutes or less, but not Never (0)
Administrative Templates\Windows Components\Remote Desktop Services\Remote Desktop Session Host\Session Time Limits\Set time limit for active but idle Remote Desktop Services sessions
Impact:
Remote Desktop Services will automatically disconnect active but idle sessions after 15 minutes (or the specified amount of time). The user receives a warning two minutes before the session disconnects, which allows the user to press a key or move the mouse to keep the session active. Note that idle session time limits do not apply to console sessions.
See Also:
https://workbench.cisecurity.org/benchmarks/21719
Reference:
800-171|3.1.10, 800-171r3|03.01.10, 800-53|AC-11, 800-53r5|AC-11, CN-L3|8.1.4.1(b), CSCv7|16.11, GDPR|32.1.b, HIPAA|164.306(a)(1), HIPAA|164.312(a)(2)(iii), ISO-27001-2022|A.7.7, ISO-27001-2022|A.8.1, ISO/IEC-27001|A.11.2.8, ITSG-33|AC-11, LEVEL|2A, NIAv2|AM23c, NIAv2|AM23d, PCI-DSSv3.2.1|8.1.8, PCI-DSSv4.0|8.2.8
Policy Value:
[1..900000]
Actual Value:
900000</t>
  </si>
  <si>
    <t>"74.1 (L2) Ensure 'Allow Online Tips' is set to 'Block': [PASSED]"
This policy setting configures the retrieval of online tips and help for the Settings app.
The recommended state for this setting is: Block
Due to privacy concerns, data should never be sent to any third-party since this data could contain sensitive information.
Solution:
To establish the recommended configuration via configuration profiles, set the following Settings Catalog path to Block
Settings\Allow Online Tips
Impact:
Settings will not contact Microsoft content services to retrieve tips and help content.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0
Actual Value:
0</t>
  </si>
  <si>
    <t>"4.11.49.1 (L2) Ensure 'Prevent Internet Explorer security prompt for Windows Installer scripts' is set to 'Disabled': [PASSED]"
This policy setting controls whether Web-based programs are allowed to install software on the computer without notifying the user.
The recommended state for this setting is: Disabled
Suppressing the system warning can pose a security risk and increase the attack surface on the system.
Solution:
To establish the recommended configuration via configuration profiles, set the following Settings Catalog path to Disabled
Administrative Templates\Windows Components\Windows Installer\Prevent Internet Explorer security prompt for Windows Installer scripts
Impact:
None - this is the default behavior.
See Also:
https://workbench.cisecurity.org/benchmarks/21719
Reference:
800-171|3.4.8, 800-171r3|03.04.08, 800-53|CM-7(5), 800-53|CM-10, 800-53r5|CM-7(5), 800-53r5|CM-10, CSCv8|2.5, CSF|DE.CM-3, CSF|PR.IP-1, CSF|PR.PT-3, CSF2.0|DE.CM-03, CSF2.0|DE.CM-09, CSF2.0|PR.PS-01, GDPR|32.1.b, HIPAA|164.306(a)(1), ISO-27001-2022|A.5.32, ISO-27001-2022|A.8.19, ISO/IEC-27001|A.12.5.1, ISO/IEC-27001|A.12.6.2, ITSG-33|CM-7, LEVEL|2A, NIAv2|SS15a, PCI-DSSv3.2.1|2.2.2, QCSC-v1|3.2, QCSC-v1|8.2.1, SWIFT-CSCv1|2.3, TBA-FIISB|44.2.2, TBA-FIISB|49.2.3
Policy Value:
0
Actual Value:
0</t>
  </si>
  <si>
    <t>"47.1 (L2) Ensure 'Disallow KMS Client Online AVS Validation' is set to 'Allow': [PASSED]"
The Key Management Service (KMS) is a Microsoft license activation method that entails setting up a local server to store the software licenses. The KMS server itself needs to connect to Microsoft to activate the KMS service, but subsequent on-network clients can activate Microsoft Windows OS and/or their Microsoft Office via the KMS server instead of connecting directly to Microsoft. This policy setting lets you opt-out of sending KMS client activation data to Microsoft automatically.
The recommended state for this setting is: Allow
Even though the KMS licensing method does not
require
KMS clients to connect to Microsoft, they still send KMS client activation state data to Microsoft automatically. Preventing this information from being sent can help reduce privacy concerns in high security environments.
Solution:
To establish the recommended configuration via configuration profiles, set the following Settings Catalog path to Allow :
Licensing\Disallow KMS Client Online AVS Validation
Impact:
The computer is prevented from sending data to Microsoft regarding its KMS client activation state.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1
Actual Value:
1</t>
  </si>
  <si>
    <t>"81.2 (L2) Ensure 'Bluetooth Support Service (bthserv)' is set to 'Disabled': [FAILED]"
The Bluetooth service supports discovery and association of remote Bluetooth devices.
The recommended state for this setting is: Disabled
Bluetooth technology has inherent security risks - especially prior to the v2.1 standard. Wireless Bluetooth traffic is not well encrypted (if at all), so in a high-security environment, it should not be permitted, in spite of the added inconvenience of not being able to use Bluetooth devices.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bthserv -StartupType Disabled
Impact:
Already installed Bluetooth devices may fail to operate properly and new devices may be prevented from being discovered or associated. If Bluetooth devices were installed, then some Windows components, such as Devices and Printers, may fail to operate correctly - including hanging/freezing when opened. The solution, besides re-enabling this service, is to disable or delete the offending Bluetooth device(s) in Device Manager, or disable the device altogether via the system BIOS (if it is an on-board Bluetooth device).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3</t>
  </si>
  <si>
    <t>"4.11.56.1 (L2) Ensure 'Allow Remote Shell Access' is set to 'Disabled': [PASSED]"
This policy setting allows you to manage configuration of remote access to all supported shells to execute scripts and commands.
The recommended state for this setting is: Disabled
Note: The GPME help text for this setting is incorrectly worded, implying that configuring it to Enabled will reject new Remote Shell connections, and setting it to Disabled will allow Remote Shell connections. The opposite is true (and is consistent with the title of the setting). This is a wording mistake by Microsoft in the Administrative Template.
Any feature is a potential avenue of attack, those that enable inbound network connections are particularly risky. Only enable the use of the Windows Remote Shell on trusted networks and when feasible employ additional controls such as IPsec.
Solution:
To establish the recommended configuration via configuration profiles, set the following Settings Catalog path to Disabled
Administrative Templates\Windows Components\Windows Remote Shell\Allow Remote Shell Access
Impact:
New Remote Shell connections are not allowed and are rejected by the workstation.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</si>
  <si>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"4.11.7.1.7 (BL) Ensure 'Choose how BitLocker-protected fixed drives can be recovered: Omit recovery options from the BitLocker setup wizard' is set to 'Enabled: True': [PASSED]"
This policy setting allows you to control how BitLocker-protected fixed data drives are recovered in the absence of the required credentials. This policy setting is applied when you turn on BitLocker.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The recommended state for this setting is: Enabled: True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True
Administrative Templates\Windows Components\BitLocker Drive Encryption\Fixed Data Drives\Choose how BitLocker-protected fixed drives can be recovered: Omit recovery options from the BitLocker setup wizard
Impact:
The ability to manually select recovery options for fixed drives will not be presented to the user in the BitLocker setup wizard.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</si>
  <si>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"81.34 (L2) Ensure 'Windows Push Notifications System Service (WpnService)' is set to 'Disabled': [FAILED]"
This service runs in session 0 and hosts the notification platform and connection provider which handles the connection between the device and WNS server.
The recommended state for this setting is: Disabled
Note: In the first two releases of Windows 10 (R1507 &amp; R1511), the display name of this service was initially named
Windows Push Notifications Service
- but it was renamed to
Windows Push Notifications System Service
starting with Windows 10 R1607.
Windows Push Notification Services (WNS) is a mechanism to receive third-party notifications and updates from the cloud/Internet. In a high security environment, external systems, especially those hosted outside the organization, should be prevented from having an impact on the secure workstations.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WpnService -StartupType Disabled
Impact:
Live Tiles and other features will not get live updates.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2</t>
  </si>
  <si>
    <t>"4.10.9.1.2 (BL) Ensure 'Prevent installation of devices using drivers that match these device setup classes: Also apply to matching devices that are already installed.' is set to 'True' (checked): [FAILED]"
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True (checked)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an attacker may be able to perform DMA attacks.
This issue is documented in Microsoft Knowledge Base article 2516445:
Blocking the SBP-2 driver and Thunderbolt controllers to reduce 1394 DMA and Thunderbolt DMA threats to BitLocker
.
Solution:
To establish the recommended configuration via configuration profiles, set the following Settings Catalog path to Enabled and check the Also apply to matching devices that are already installed. button.
Administrative Templates\System\Device Installation\Device Installation Restrictions\Prevent installation of devices using drivers that match these device setup classes
Impact:
Existing devices (that match the device setup classes specified) that were previously installed prior to the hardening will be disabled or removed.
See Also:
https://workbench.cisecurity.org/benchmarks/21719
Reference:
800-53|SI-16, 800-53r5|SI-16, CSCv8|10.5, CSF2.0|PR.DS-10, GDPR|32.1.b, HIPAA|164.306(a)(1), ITSG-33|SI-16, LEVEL|BLA
Policy Value:
1
Actual Value:
NULL</t>
  </si>
  <si>
    <t>"4.11.7.2.6 (BL) Ensure 'Choose how BitLocker-protected operating system drives can be recovered: Do not enable BitLocker until recovery information is stored to AD DS for operating system drives' is set to 'Enabled: True': [PASSED]"
This policy setting allows you to control how BitLocker-protected operating system drives are recovered in the absence of the required startup key information. This policy setting is applied when you turn on BitLocker.
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
Note: If the 'Do not enable BitLocker until recovery information is stored in AD DS for operating system drives' check box is selected, a recovery password is automatically generated.
The recommended state for this setting is: Enabled: True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True
Administrative Templates\Windows Components\BitLocker Drive Encryption\Operating System Drives\Choose how BitLocker-protected operating system drives can be recovered: Do not enable BitLocker until recovery information is stored to AD DS for operating system drives
Impact:
Users will need to be domain connected and the back up of BitLocker recovery information for the operating system drive must succeed in order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</si>
  <si>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"4.11.7.2.7 (BL) Ensure 'Choose how BitLocker-protected operating system drives can be recovered: Omit recovery options from the BitLocker setup wizard' is set to 'Enabled: True': [PASSED]"
This policy setting allows you to control how BitLocker-protected operating system drives are recovered in the absence of the required startup key information. This policy setting is applied when you turn on BitLocker.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The recommended state for this setting is: Enabled: True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True
Administrative Templates\Windows Components\BitLocker Drive Encryption\Operating System Drives\Choose how BitLocker-protected operating system drives can be recovered: Omit recovery options from the BitLocker setup wizard
Impact:
The ability to manually select recovery options for the operating drive will not be presented to the user in the BitLocker setup wizard.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</si>
  <si>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"4.10.25.1 (L2) Ensure 'Disallow copying of user input methods to the system account for sign-in' is set to 'Enabled': [PASSED]"
This policy prevents automatic copying of user input methods to the system account for use on the sign-in screen. The user is restricted to the set of input methods that are enabled in the system account.
The recommended state for this setting is: Enabled
This is a way to increase the security of the system account.
Solution:
To establish the recommended configuration via configuration profiles, set the following Settings Catalog path to Enabled
Administrative Templates\System\Locale Services\Disallow copying of user input methods to the system account for sign-in
Impact:
Users will have input methods enabled for the system account on the sign-in page.
See Also:
https://workbench.cisecurity.org/benchmarks/21719
Reference:
800-171|3.1.10, 800-171r3|03.01.10, 800-53|AC-11, 800-53r5|AC-11, CN-L3|8.1.4.1(b), CSCv7|16.11, GDPR|32.1.b, HIPAA|164.306(a)(1), HIPAA|164.312(a)(2)(iii), ISO-27001-2022|A.7.7, ISO-27001-2022|A.8.1, ISO/IEC-27001|A.11.2.8, ITSG-33|AC-11, LEVEL|2A, NIAv2|AM23c, NIAv2|AM23d, PCI-DSSv3.2.1|8.1.8, PCI-DSSv4.0|8.2.8
Policy Value:
1
Actual Value:
1</t>
  </si>
  <si>
    <t>"89.16 (L1) Ensure 'Deny Log On As Service Job' to include 'Guests': [PASSED]"
This security setting determines which service accounts are prevented from registering a process as a service. This user right supersedes the Log on as a service user right if an account is subject to both policies.
The recommended state for this setting is to include: *S-1-5-32-546 (Guests).
Note: This security setting does not apply to the System Local Service or Network Service accounts.
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an attacker who has already attained that level of access could configure the service to run with the System account.
Solution:
To establish the recommended configuration via configuration profiles, set the following Settings Catalog path to *S-1-5-32-546 (Guests).
User Rights\Deny Log On As Service Job
Impact:
If you assign the Deny log on as a service user right to specific accounts, services may not be able to start and a DoS condition could result.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Actual Value:
'guests'</t>
  </si>
  <si>
    <t>"4.11.36.4.9.4 (L1) Ensure 'Require user authentication for remote connections by using Network Level Authentication' is set to 'Enabled': [PASSED]"
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
Solution:
To establish the recommended configuration via configuration profiles, set the following Settings Catalog path to Enabled
Administrative Templates\Windows Components\Remote Desktop Services\Remote Desktop Session Host\Security\Require user authentication for remote connections by using Network Level Authentication
Impact:
Only client computers that support Network Level Authentication can connect to the RD Session Host server.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</si>
  <si>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"4.11.7.4 (BL) Ensure 'Choose drive encryption method and cipher strength (Windows 10 [Version 1511] and later): Select the encryption method for fixed data drives' is set to 'XTS-AES 128-bit (default)' or 'XTS-AES 256-bit': [PASSED]"
This policy setting determines which encryption method should be used for fixed data drives.
The recommended state for this setting is: XTS-AES 128-bit (default) or XTS-AES 256-bit
Enforcing the default value of XTS-AES 128-bit (default) or higher helps ensure that a weaker cipher is not used to protect data on fixed data drives.
Solution:
To establish the recommended configuration via configuration profiles, set the following Settings Catalog path to XTS-AES 128-bit (default) or XTS-AES 256-bit
Administrative Templates\Windows Components\BitLocker Drive Encryption\Choose drive encryption method and cipher strength (Windows 10 [Version 1511] and later)\Select the encryption method for fixed data drives
Impact:
None - this setting enforces the default value or higher.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6 || 7
Actual Value:
6</t>
  </si>
  <si>
    <t>"81.16 (L2) Ensure 'Remote Access Auto Connection Manager (RasAuto)' is set to 'Disabled': [PASSED]"
Creates a connection to a remote network whenever a program references a remote DNS or NetBIOS name or address.
The recommended state for this setting is: Disabled
The function of this service is to provide a 'demand dial' type of functionality. In a high security environment, it is preferred that any remote 'dial' connections (whether they be legacy dial-in POTS or VPN) are initiated by the user
not
automatically by the system.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RasAuto -StartupType Disabled
Impact:
'Dial on demand' functionality will no longer operate - remote dial-in (POTS) and VPN connections must be initiated manually by the user.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</si>
  <si>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"72.1 (L2) Ensure 'Allow Cloud Search' is set to 'Not allowed': [PASSED]"
This policy setting allows search and Cortana to search cloud sources like OneDrive and SharePoint.
The recommended state for this setting is: Not allowed
Due to privacy concerns, data should never be sent to any third-party since this data could contain sensitive information.
Solution:
To establish the recommended configuration via configuration profiles, set the following Settings Catalog path to Not allowed :
Search\Allow Cloud Search
Impact:
Search and Cortana will not be permitted to search cloud sources like OneDrive and SharePoint.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</si>
  <si>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"4.10.20.1.3 (L2) Ensure 'Turn off Help Experience Improvement Program (User)' is set to 'Enabled': [PASSED]"
This policy setting specifies whether users can participate in the Help Experience Improvement program. The Help Experience Improvement program collects information about how customers use Windows Help so that Microsoft can improve it.
The recommended state for this setting is: Enabled
Large enterprise managed environments may not want to have information collected by Microsoft from managed client computers.
Solution:
To establish the recommended configuration via configuration profiles, set the following Settings Catalog path to Enabled
Administrative Templates\System\Internet Communication Management\Internet Communication Settings\Turn off Help Experience Improvement Program
Impact:
Users cannot participate in the Help Experience Improvement program.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Compliant items:</t>
  </si>
  <si>
    <t>"4.5.8 (L2) Ensure 'MSS: (PerformRouterDiscovery) Allow IRDP to detect and configure Default Gateway addresses (could lead to DoS)' is set to 'Disabled': [PASSED]"
This setting is used to enable or disable the Internet Router Discovery Protocol (IRDP), which allows the system to detect and configure default gateway addresses automatically as described in RFC 1256 on a per-interface basis.
The recommended state for this setting is: Disabled
An attacker who has gained control of a computer on the same network segment could configure a computer on the network to impersonate a router. Other computers with IRDP enabled would then attempt to route their traffic through the already compromised computer.
Solution:
To establish the recommended configuration via configuration profiles, set the following Settings Catalog path to Disabled
Administrative Templates\MSS (Legacy)\MSS: (PerformRouterDiscovery) Allow IRDP to detect and configure Default Gateway addresses (could lead to DoS)
Impact:
Windows will not automatically detect and configure default gateway addresses on the computer.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</si>
  <si>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"4.5.11 (L2) Ensure 'MSS: (TcpMaxDataRetransmissions IPv6) How many times unacknowledged data is retransmitted' is set to 'Enabled: 3': [PASSED]"
This setting controls the number of times that TCP retransmits an individual data segment (non-connect segment) before the connection is aborted. The retransmission time-out is doubled with each successive retransmission on a connection. It is reset when responses resume. The base time-out value is dynamically determined by the measured round-trip time on the connection.
The recommended state for this setting is: Enabled: 3
A malicious user could exhaust a target computer's resources if it never sent any acknowledgment messages for data that was transmitted by the target computer.
Solution:
To establish the recommended configuration via configuration profiles, set the following Settings Catalog path to Enabled: 3
Administrative Templates\MSS (Legacy)\MSS:(TcpMaxDataRetransmissions IPv6) How many times unacknowledged data is retransmitted
Impact:
TCP starts a retransmission timer when each outbound segment is passed to the IP. If no acknowledgment is received for the data in a given segment before the timer expires, then the segment is retransmitted up to three times.
See Also:
https://workbench.cisecurity.org/benchmarks/21719
Reference:
800-171|3.1.16, 800-171|3.1.17, 800-171|3.4.1, 800-171|3.4.2, 800-171|3.4.6, 800-171|3.4.7, 800-171r3|03.01.16, 800-171r3|03.04.01, 800-171r3|03.04.02, 800-171r3|03.04.06, 800-53|AC-18, 800-53|AC-18(1), 800-53|AC-18(3), 800-53|CM-2, 800-53|CM-6, 800-53|CM-7, 800-53|CM-7(1), 800-53|CM-9, 800-53r5|AC-18, 800-53r5|AC-18(1), 800-53r5|AC-18(3), 800-53r5|CM-2, 800-53r5|CM-6, 800-53r5|CM-7, 800-53r5|CM-7(1), 800-53r5|CM-9, CSCv7|11.1, CSCv8|4.2, CSF|DE.AE-1, CSF|PR.DS-7, CSF|PR.IP-1, CSF|PR.PT-3, CSF|PR.PT-4, CSF2.0|DE.CM-09, CSF2.0|ID.AM-08, CSF2.0|PR.AA-05, CSF2.0|PR.PS-01, GDPR|32.1.b, HIPAA|164.306(a)(1), HIPAA|164.312(a)(1), ISO-27001-2022|A.5.2, ISO-27001-2022|A.5.14, ISO-27001-2022|A.8.9, ISO-27001-2022|A.8.20, ITSG-33|AC-18, ITSG-33|AC-18(1), ITSG-33|AC-18(3), ITSG-33|CM-2, ITSG-33|CM-6, ITSG-33|CM-7, ITSG-33|CM-7(1), ITSG-33|CM-9, LEVEL|2A, NESA|T1.2.1, NESA|T1.2.2, NESA|T3.2.5, NESA|T5.4.2, NESA|T7.5.1, NESA|T7.5.3, NESA|T7.6.1, NESA|T7.6.2, NESA|T7.6.3, NIAv2|NS33, NIAv2|NS34, NIAv2|NS38, NIAv2|SS15a, NIAv2|SS16, PCI-DSSv3.2.1|2.2.2, QCSC-v1|3.2, QCSC-v1|5.2.1, QCSC-v1|5.2.2, SWIFT-CSCv1|2.3
Policy Value:
3
Actual Value:
3</t>
  </si>
  <si>
    <t>"4.11.55.2.2 (L2) Ensure 'Allow remote server management through WinRM' is set to 'Disabled': [PASSED]"
This policy setting allows you to manage whether the Windows Remote Management (WinRM) service automatically listens on the network for requests on the HTTP transport over the default HTTP port.
The recommended state for this setting is: Disabled
Any feature is a potential avenue of attack, those that enable inbound network connections are particularly risky. Only enable the use of the Windows Remote Management (WinRM) service on trusted networks and when feasible employ additional controls such as IPsec.
Solution:
To establish the recommended configuration via configuration profiles, set the following Settings Catalog path to Disabled
Administrative Templates\Windows Components\Windows Remote Management (WinRM)\WinRM Service\Allow remote server management through WinRM
Impact:
None - this is the default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</si>
  <si>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"81.21 (L2) Ensure 'Remote Registry (RemoteRegistry)' is set to 'Disabled': [PASSED]"
Enables remote users to view and modify registry settings on this computer.
The recommended state for this setting is: Disabled
In a high security environment, exposing the registry to remote access is an increased security risk.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RemoteRegistry -StartupType Disabled
Impact:
The registry can be viewed and modified only by users on the computer.
Note: Many remote administration tools, such as System Center Configuration Manager (SCCM), require the Remote Registry service to be operational for remote management. In addition, many vulnerability scanners use this service to access the registry remotely.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</si>
  <si>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"4.11.7.2.13 (BL) Ensure 'Require additional authentication at startup: Configure TPM startup:' is set to 'Enabled: Do not allow TPM': [FAILED]"
This policy setting allows you to configure whether BitLocker requires additional authentication each time the computer starts. This policy setting is applied when you turn on BitLocker.
Note: Only one of the additional authentication options can be
required
at startup, otherwise a policy error occurs.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The recommended state for this setting is: Enabled: Do not allow TPM
Warning: If silent encryption is desired, this setting must be configured to Require TPM and an exception to this recommendation will be needed. Please also see recommendation
'Require additional authentication at startup: Configure TPM startup PIN:' is set to 'Enabled: Require startup PIN with TPM'
for needed configuration change for silent encryption.
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
Solution:
To establish the recommended configuration via configuration profiles, set the following Settings Catalog path to Enabled: Do not allow TPM
Administrative Templates\Windows Components\BitLocker Drive Encryption\Operating System Drives\Require additional authentication at startup: Configure TPM startup:
Impact:
A TPM alone will be insufficient authentication for use with BitLocker.
See Also:
https://workbench.cisecurity.org/benchmarks/21719
Reference:
800-171|3.1.19, 800-171r3|03.01.18c., 800-53|AC-19(5), 800-53r5|AC-19(5), CSCv7|13.6, CSF|PR.AC-3, CSF2.0|PR.AA-05, GDPR|32.1.b, HIPAA|164.306(a)(1), ISO-27001-2022|A.5.14, ISO-27001-2022|A.7.9, ISO-27001-2022|A.8.1, ISO/IEC-27001|A.6.2.1, ITSG-33|AC-19, LEVEL|BLA, NIAv2|OS5, QCSC-v1|3.2, QCSC-v1|5.2.2, QCSC-v1|13.2
Policy Value:
0
Actual Value:
1</t>
  </si>
  <si>
    <t>"4.11.7.1.3 (BL) Ensure 'Choose how BitLocker-protected fixed drives can be recovered: Recovery Password' is set to 'Enabled: Allow 48-digit recovery password': [PASSED]"
This policy setting allows you to control how BitLocker-protected fixed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Allow 48-digit recovery password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Allow 48-digit recovery password
Administrative Templates\Windows Components\BitLocker Drive Encryption\Fixed Data Drives\Choose how BitLocker-protected fixed drives can be recovered: Recovery Password
Impact:
A 48-digit recovery password will be permitted for fixed drives.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2
Actual Value:
2</t>
  </si>
  <si>
    <t>"4.11.7.1.5 (BL) Ensure 'Choose how BitLocker-protected fixed drives can be recovered: Configure storage of BitLocker recovery information to AD DS' is set to 'Enabled: Backup recovery passwords and key packages': [PASSED]"
This policy setting allows you to control how BitLocker-protected fixed data drives are recovered in the absence of the required credentials. This policy setting is applied when you turn on BitLocker.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Backup recovery passwords and key packages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Backup recovery passwords and key packages
Administrative Templates\Windows Components\BitLocker Drive Encryption\Fixed Data Drives\Choose how BitLocker-protected fixed drives can be recovered: Configure storage of BitLocker recovery information to AD DS:
Impact:
None - this value is ignored when the checkbox above it (
Save BitLocker recovery information to AD DS for fixed data drives
) is False (unchecked). If that checkbox is set to True (checked), both recovery passwords and key packages for fixed drives will be saved to AD DS.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</si>
  <si>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"98.1 (L2) Ensure 'Allow suggested apps in Windows Ink Workspace' is set to 'Block': [PASSED]"
This policy setting determines whether suggested apps in Windows Ink Workspace are allowed.
The recommended state for this setting is: Block
This Microsoft feature is designed to collect data and suggest apps based on that data collected. Disabling this setting will help ensure your data is not shared with any third party.
Solution:
To establish the recommended configuration via configuration profiles, set the following Settings Catalog path to Block
Windows Ink Workspace\Allow suggested apps in Windows Ink Workspace
Impact:
The suggested apps in Windows Ink Workspace will not be allowed.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0
Actual Value:
0</t>
  </si>
  <si>
    <t>"4.11.7.2.2 (BL) Ensure 'Choose how BitLocker-protected operating system drives can be recovered: Recovery Key' is set to 'Enabled: Do not allow 256-bit recovery key': [PASSED]"
This policy setting allows you to control how BitLocker-protected operating system drives are recovered in the absence of the required startup key information.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Do not allow 256-bit recovery key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Do not allow 256-bit recovery key
Administrative Templates\Windows Components\BitLocker Drive Encryption\Operating System Drives\Choose how BitLocker-protected operating system drives can be recovered: Recovery Key
Impact:
A 256-bit recovery key will not be permitted for the operating system drive.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0
Actual Value:
0</t>
  </si>
  <si>
    <t>"26.2 (L1) Ensure 'Device Password Enabled: Alphanumeric Device Password Required' is set to 'Password or Alphanumeric PIN required': [FAILED]"
This policy setting determines the type of PIN or password this is required on a system.
The recommended state for this setting is: Password or Alphanumeric PIN required
Note: This policy only applies if the DevicePasswordEnabled policy is set to 1 This is a pre-requisite for
Alphanumeric Device Password Required
in the settings catalog.
This is a pre-requisite for
Min Device Password Complex Characters
, which enforces a more complex local user and Microsoft account passwords.
Note: This setting has no impact on Entra ID accounts.
Solution:
To establish the recommended configuration via configuration profiles, set the following Settings Catalog path to Password or Alphanumeric PIN required :
Device Lock\Device Password Enabled: Alphanumeric Device Password Required
Impact:
If an organization is using Windows Hello for Business then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CSCv7|16.2, CSCv8|5.2, CSF|PR.AC-1, CSF2.0|PR.AA-01, CSF2.0|PR.AA-03, GDPR|32.1.b, HIPAA|164.306(a)(1), HIPAA|164.312(a)(2)(i), HIPAA|164.312(d), ISO-27001-2022|A.5.16, ISO-27001-2022|A.5.17, ITSG-33|IA-5(1), LEVEL|1A, NESA|T5.2.3, QCSC-v1|5.2.2, QCSC-v1|13.2, SWIFT-CSCv1|4.1
Policy Value:
1
Actual Value:
0</t>
  </si>
  <si>
    <t>"4.10.20.1.11 (L2) Ensure 'Turn off the Windows Messenger Customer Experience Improvement Program' is set to 'Enabled': [PASSED]"
This policy setting specifies whether the Windows Customer Experience Improvement Program can collect anonymous information about how Windows is used.
Microsoft uses information collected through the Windows Customer Experience Improvement Program to improve features that are most used and to detect flaws so that they can be corrected more quickly. Enabling this setting will reduce the amount of data Microsoft is able to gather for this purpose. The recommended state for this setting is: Enabled
Large enterprise managed environments may not want to have information collected by Microsoft from managed client computers.
Solution:
To establish the recommended configuration via configuration profiles, set the following Settings Catalog path to Enabled
Administrative Templates\System\Internet Communication Management\Internet Communication settings\Turn off the Windows Messenger Customer Experience Improvement Program
Impact:
Windows Messenger will not collect usage information, and the user settings to enable the collection of usage information will not be shown.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2
Actual Value:
2</t>
  </si>
  <si>
    <t>"4.11.7.2.3 (BL) Ensure 'Choose how BitLocker-protected operating system drives can be recovered: Recovery Password' is set to 'Enabled: Require 48-digit recovery password': [FAILED]"
This policy setting allows you to control how BitLocker-protected operating system drives are recovered in the absence of the required startup key information.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Require 48-digit recovery password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Require 48-digit recovery password
Administrative Templates\Windows Components\BitLocker Drive Encryption\Operating System Drives\Choose how BitLocker-protected operating system drives can be recovered: Recovery Password
Impact:
A 48-digit recovery password will be required for the operating system drive.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2</t>
  </si>
  <si>
    <t>"4.10.20.1.12 (L2) Ensure 'Turn off Windows Customer Experience Improvement Program' is set to 'Enabled': [PASSED]"
This policy setting specifies whether Windows Messenger can collect anonymous information about how the Windows Messenger software and service is used.
Microsoft uses information collected through the Windows Customer Experience Improvement Program to detect software flaws so that they can be corrected more quickly, enabling this setting will reduce the amount of data Microsoft is able to gather for this purpose. The recommended state for this setting is: Enabled
Large enterprise managed environments may not want to have information collected by Microsoft from managed client computers.
Solution:
To establish the recommended configuration via configuration profiles, set the following Settings Catalog path to Enabled
Administrative Templates\System\Internet Communication Management\Internet Communication settings\Turn off Windows Customer Experience Improvement Program
Impact:
All users are opted out of the Windows Customer Experience Improvement Program.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</si>
  <si>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"12.1 (L2) Ensure 'Allow Camera' is set to 'Not allowed': [FAILED]"
This policy setting controls whether the use of Camera devices on the machine are permitted.
The recommended state for this setting is: Not allowed
Cameras in a high security environment can pose serious privacy and data exfiltration risks - they should be disabled to help mitigate that risk.
Solution:
To establish the recommended configuration via configuration profiles, set the following Settings Catalog path to Not allowed :
Camera\Allow Camera
Impact:
Users will not be able to utilize the camera on a system.
See Also:
https://workbench.cisecurity.org/benchmarks/21719
Reference:
800-171|3.4.2, 800-171|3.4.6, 800-171|3.4.7, 800-171r3|03.04.02, 800-171r3|03.04.06, 800-53|CM-6, 800-53|CM-7, 800-53r5|CM-6, 800-53r5|CM-7, CSCv8|4.8, CSF|PR.IP-1, CSF|PR.PT-3, CSF2.0|DE.CM-09, CSF2.0|PR.PS-01, GDPR|32.1.b, HIPAA|164.306(a)(1), ISO-27001-2022|A.8.9, ITSG-33|CM-6, ITSG-33|CM-7, LEVEL|2A, NIAv2|SS15a, PCI-DSSv3.2.1|2.2.2, SWIFT-CSCv1|2.3
Policy Value:
0
Actual Value:
1</t>
  </si>
  <si>
    <t>"4.11.42.2 (L2) Ensure 'Turn off the Store application' is set to 'Enabled': [FAILED]"
This setting denies or allows access to the Store application.
The recommended state for this setting is: Enabled
Note:
Per Microsoft TechNet
and
MSKB 3135657
, this policy setting does not apply to any Windows 10 editions other than Enterprise and Education.
Only applications approved by an IT department should be installed. Allowing users to install third-party applications can lead to missed patches and potential zero day vulnerabilities.
Solution:
To establish the recommended configuration via configuration profiles, set the following Settings Catalog path to Enabled
Administrative Templates\Windows Components\Store\Turn off the Store application
Impact:
Access to the Microsoft Store application is denied.
See Also:
https://workbench.cisecurity.org/benchmarks/21719
Reference:
800-171|3.4.8, 800-171r3|03.04.08, 800-53|CM-7(5), 800-53|CM-10, 800-53r5|CM-7(5), 800-53r5|CM-10, CSCv7|9.2, CSCv8|2.5, CSF|DE.CM-3, CSF|PR.IP-1, CSF|PR.PT-3, CSF2.0|DE.CM-03, CSF2.0|DE.CM-09, CSF2.0|PR.PS-01, GDPR|32.1.b, HIPAA|164.306(a)(1), ISO-27001-2022|A.5.32, ISO-27001-2022|A.8.19, ISO/IEC-27001|A.12.5.1, ISO/IEC-27001|A.12.6.2, ITSG-33|CM-7, LEVEL|2A, NIAv2|SS15a, PCI-DSSv3.2.1|2.2.2, QCSC-v1|3.2, QCSC-v1|8.2.1, SWIFT-CSCv1|2.3, TBA-FIISB|44.2.2, TBA-FIISB|49.2.3
Policy Value:
1
Actual Value:
0</t>
  </si>
  <si>
    <t>"4.11.7.2.8 (BL) Ensure 'Choose how BitLocker-protected operating system drives can be recovered: Save BitLocker recovery information to AD DS for operating system drives' is set to 'Enabled: True': [PASSED]"
This policy setting allows you to control how BitLocker-protected operating system drives are recovered in the absence of the required startup key information. This policy setting is applied when you turn on BitLocker.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True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True
Administrative Templates\Windows Components\BitLocker Drive Encryption\Operating System Drives\Choose how BitLocker-protected operating system drives can be recovered: Do not enable BitLocker until recovery information is stored to AD DS for operating system drives
Impact:
BitLocker recovery information for the operating system drive will be backed up to AD DS.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</si>
  <si>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"81.1 (L2) Ensure 'Bluetooth Audio Gateway Service (BTAGService)' is set to 'Disabled': [FAILED]"
Service supporting the audio gateway role of the Bluetooth Handsfree Profile.
The recommended state for this setting is: Disabled
Bluetooth technology has inherent security risks - especially prior to the v2.1 standard. Wireless Bluetooth traffic is not well encrypted (if at all), so in a high-security environment, it should not be permitted, in spite of the added inconvenience of not being able to use Bluetooth devices.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BTAGService -StartupType Disabled
Note: This service was first introduced in Windows 10 Release 1803. It appears to have replaced the older
Bluetooth Handsfree Service (BthHFSrv)
, which was removed from Windows in that release (it is not simply a rename, but a different service).
Impact:
Bluetooth hands-free devices will not function properly with the computer.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3</t>
  </si>
  <si>
    <t>"55.3 (L2) Ensure 'Allow Shared User App Data' is set to 'Block': [PASSED]"
Manages a Windows app's ability to share data between users who have installed the app. Data is shared through the SharedLocal folder. This folder is available through the Windows.Storage API.
The recommended state for this setting is: Block
Users of a system could accidentally share sensitive data with other users on the same system.
Solution:
To establish the recommended configuration via configuration profiles, set the following Settings Catalog path to Block
Microsoft App Store\Allow Shared User App Data
Impact:
None - this is the default behavior.
See Also:
https://workbench.cisecurity.org/benchmarks/21719
Reference:
800-171|3.1.1, 800-171r3|03.01.02, 800-53|AC-3, 800-53r5|AC-3, CN-L3|8.1.4.2(f), CN-L3|8.1.4.11(b), CN-L3|8.1.10.2(c), CN-L3|8.5.3.1, CN-L3|8.5.4.1(a), CSCv7|14.6, CSF|PR.AC-4, CSF|PR.PT-3, CSF2.0|PR.AA-05, CSF2.0|PR.DS-10, CSF2.0|PR.IR-01, GDPR|32.1.b, HIPAA|164.306(a)(1), HIPAA|164.312(a)(1), ISO-27001-2022|A.5.15, ISO-27001-2022|A.5.33, ISO-27001-2022|A.8.3, ISO-27001-2022|A.8.18, ISO-27001-2022|A.8.20, ISO/IEC-27001|A.9.4.1, ISO/IEC-27001|A.9.4.5, ITSG-33|AC-3, LEVEL|2A, NESA|T4.2.1, NESA|T5.4.4, NESA|T5.4.5, NESA|T5.5.4, NESA|T5.6.1, NESA|T7.5.2, NESA|T7.5.3, NIAv2|AM3, NIAv2|SS29, QCSC-v1|3.2, QCSC-v1|5.2.2, QCSC-v1|13.2, TBA-FIISB|31.1
Policy Value:
0
Actual Value:
0</t>
  </si>
  <si>
    <t>Opposed: We do not want to enable Bitlocker until all key information has been backed up to prevent data loss.</t>
  </si>
  <si>
    <t>Opposed: We will save the Bitlocker key information in Entra so that recovery can be performed if required</t>
  </si>
  <si>
    <t>Opposed: Implemented, but we "require" a 256-bit recovery key instead of "Allow"</t>
  </si>
  <si>
    <t>Opposed. Using HTTPS print is a more secure method than LPT and other printing services because it allows authentication. This policy controls HTTP and HTTPS.</t>
  </si>
  <si>
    <t>Opposed: Key is backed up to Azure and we prefer to use a Key for restoration. However, password is still allowed if user wants to create.</t>
  </si>
  <si>
    <t>Opposed: No startup pin because it requires user interaction. We accept the risk of dumping the memory contents. DMA mitigations have been enabled.</t>
  </si>
  <si>
    <t>Opposed: Will allow encryption using TPM only.</t>
  </si>
  <si>
    <t>Opposed: Will allow encryption using TPM only so that silent encryption can be enabled.</t>
  </si>
  <si>
    <t>Opposed: We will allow writing to removable drives (such as flash drives) that aren't encrypted.</t>
  </si>
  <si>
    <t>Opposed. Set to Advanced (2) for better AV protection.</t>
  </si>
  <si>
    <t>None</t>
  </si>
  <si>
    <t>Opposed. Store will be available. Using store is better than using downloaded apps.</t>
  </si>
  <si>
    <t>Opposed. Cameras are used for Zoom, Teams, etc.</t>
  </si>
  <si>
    <t>Opposed: Can cause issues with Office Apps. Has been set to audit for monitoring in Defender security portal</t>
  </si>
  <si>
    <t>CIS benchmark issue. Value is set properly, but audit is checking value for 26.1. CIS expects 26.1 to be 1 for 26.2 to be active. However, this is incorrect. 26.1 must be 0 to be active. CIS will update this in future benchmark: https://workbench.cisecurity.org/benchmarks/21719/tickets/24952</t>
  </si>
  <si>
    <t>CIS benchmark issue. Microsoft accounts only support a value of 2. CIS mentions that the value should be set to 2. However, the artififacts section that the audit was based on states the value should be 3 even though 3 is not supported for Microsoft accounts. Submitted this ticket: https://workbench.cisecurity.org/benchmarks/21719/tickets/27505</t>
  </si>
  <si>
    <t>Opposed: We will not require users to ctrl+alt+del. It doesn't really provide additional security but may make users feel like the computer is frozen. Most users are used to hitting any button to bring up the user/pass prompt.</t>
  </si>
  <si>
    <t>Opposed. If this is denied, then elevating using a LAPS password is also impossible.</t>
  </si>
  <si>
    <t>Opposed. We will use store apps for deployment in some cases.</t>
  </si>
  <si>
    <t>Opposed. Enabling this may break MDM functionality including Wipe, Unenroll, Remote Find, Mandatory App install, and more.</t>
  </si>
  <si>
    <t>Opposed. When Bitlocker is enabled, indexing of encrypted files allows search to work better.</t>
  </si>
  <si>
    <t>Opposed. We will allow fonts.</t>
  </si>
  <si>
    <t>Opposed. OneDrive is used as user's backup and file history and has been allowed.</t>
  </si>
  <si>
    <t>Opposed: We will allow Bluetooth to function.</t>
  </si>
  <si>
    <t>Opposed: Required for printing</t>
  </si>
  <si>
    <t>Opposed: May interfere with Intune Device Management functionality</t>
  </si>
  <si>
    <t>Opposed: We allow installing from Microsoft Store</t>
  </si>
  <si>
    <t>Opposed: Service startup options can't be configured in latest version of Windows and it breaks network connections if forced through hacks</t>
  </si>
  <si>
    <t>Opposed: CIS recommendations includes blocking 1394 and Thunderbolt devices. This would break functionality with a lot of devices. Additionally, Microsoft has implemented kernel level DMA protection for newer
    #          builds of Windows 11, which all of our devices are on. We will not implement this due to the breaking functionality and the reduced risk provided by Microsoft's kernel protection.</t>
  </si>
  <si>
    <t>"15.2 (L1) Ensure 'Refresh cadence' is set to '90' (or less): [PASSED]"
This policy setting determines how often MDM policies are refreshed on the system.
The recommended state for this setting is: 90 (or less).
Policy CSP settings should be set to refresh at regular intervals to ensure constant compliance and to reduce policy drift. This helps to ensure systems stay in compliance.
Solution:
To establish the recommended configuration via configuration profiles, set the following Settings Catalog path to 90 (or less).
Config Refresh\Refresh cadence
Note: The shortest configurable refresh interval is 30 minutes.
Impact:
Microsoft's tech community blog confirms that performance testing was done before the feature's release, showing minimal impact on CPU, RAM, and battery even when the refresh cadence is set to 30 minutes.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CSCv7|5.4,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'(3[0-9]|[4-8][0-9]|90)'
Actual Value:
'89'</t>
  </si>
  <si>
    <t>"34.2 (L1) Ensure 'Allow Spotlight Collection (User)' is set to '0': [PASSED]"
This policy setting removes the Spotlight collection setting in Personalization, rendering the user unable to select and subsequently download daily images from Microsoft to the system desktop.
The recommended state for this setting is: 0
Disabling this setting will help ensure your data is not shared with any third party. The Windows Spotlight feature collects data and uses that data to display images from Microsoft.
Solution:
To establish the recommended configuration via configuration profiles, set the following Settings Catalog path to 0 :
Experience\Allow Spotlight Collection (User)
Impact:
The Spotlight collection feature will not be available as an option in Personalization settings, so users will not be able to download daily images from Microsoft.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Compliant items:
  HKLM\Software\Microsoft\PolicyManager\Providers\23F0B53C-489E-4E77-9C99-0AE531B8DE43\Default\S-1-12-1-646820689-1135952126-3140365961-2250431588\Experience - 0</t>
  </si>
  <si>
    <t>"4.10.20.1.13 (L2) Ensure 'Turn off Windows Error Reporting' is set to 'Enabled': [PASSED]"
This policy setting controls whether or not errors are reported to Microsoft.
Error Reporting is used to report information about a system or application that has failed or has stopped responding and is used to improve the quality of the product.
The recommended state for this setting is: Enabled
If a Windows Error occurs in a secure, enterprise managed environment, the error should be reported directly to IT staff for troubleshooting and remediation. There is no benefit to the corporation to report these errors directly to Microsoft, and there is some risk of unknowingly exposing sensitive data as part of the error.
Solution:
To establish the recommended configuration via configuration profiles, set the following Settings Catalog path to Enabled
Administrative Templates\System\Internet Communication Management\Internet Communication settings\Turn off Windows Error Reporting
Impact:
Users are not given the option to report errors to Microsoft.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FAILED
Actual Value:
All of the following must pass to satisfy this requirement:
-------------------------
PASSED - Disabled:
 Remote value: 1
 Policy value: 1
-------------------------
PASSED - DoReport:
 Remote value: 0
 Policy value: 0</t>
  </si>
  <si>
    <t>"4.10.23.1 (L2) Ensure 'Support device authentication using certificate' is set to 'Enabled: Automatic': [PASSED]"
This policy setting allows you to set support for Kerberos to attempt authentication using the certificate for the device to the domain.
Support for device authentication using certificate will require connectivity to a DC in the device account domain which supports certificate authentication for computer accounts.
The recommended state for this setting is: Enabled: Automatic
Having stronger device authentication with the use of certificates is strongly encouraged over standard username and password authentication. Having this set to Automatic will allow certificate based authentication to be used whenever possible.
Solution:
To establish the recommended configuration via configuration profiles, set the following Settings Catalog path to Enabled: Automatic
Administrative Templates\System\Kerberos\Support device authentication using certificate
Impact:
None - this is the default behavior.
See Also:
https://workbench.cisecurity.org/benchmarks/21719
Reference:
800-171|3.4.1, 800-171r3|03.04.10, 800-171r3|03.05.02, 800-53|CM-8, 800-53|IA-3, 800-53r5|CM-8, 800-53r5|IA-3, CN-L3|8.1.10.2(a), CN-L3|8.1.10.2(b), CSCv7|1.6, CSCv7|1.8, CSF|DE.CM-7, CSF|ID.AM-1, CSF|ID.AM-2, CSF|PR.AC-1, CSF|PR.DS-3, CSF2.0|ID.AM-01, CSF2.0|ID.AM-02, CSF2.0|PR.AA-01, CSF2.0|PR.AA-03, CSF2.0|PR.PS-01, GDPR|32.1.b, HIPAA|164.306(a)(1), HIPAA|164.312(a)(2)(i), HIPAA|164.312(d), ISO-27001-2022|A.5.9, ISO-27001-2022|A.8.9, ITSG-33|CM-8, ITSG-33|IA-3, ITSG-33|IA-3a., LEVEL|2A, NESA|T1.2.1, NESA|T1.2.2, NESA|T5.4.3, QCSC-v1|13.2, TBA-FIISB|27.1
Policy Value:
FAILED
Actual Value:
All of the following must pass to satisfy this requirement:
-------------------------
PASSED - Ensure 'DevicePKInitBehavior' is 'Windows: Registry Value' to '0':
 Remote value: 0
 Policy value: 0
-------------------------
PASSED - Ensure 'DevicePKInitEnabled' is 'Windows: Registry Value' to '1':
 Remote value: 1
 Policy value: 1</t>
  </si>
  <si>
    <t>"4.6.17.1 (L2) Ensure 'Configuration of wireless settings using Windows Connect Now' is set to 'Disabled': [PASSED]"
This policy setting allows the configuration of wireless settings using Windows Connect Now (WCN). The WCN Registrar enables the discovery and configuration of devices over Ethernet (UPnP) over in-band 802.11 Wi-Fi through the Windows Portable Device API (WPD) and via USB Flash drives. Additional options are available to allow discovery and configuration over a specific medium.
The recommended state for this setting is: Disabled
This setting enhances the security of the environment and reduces the overall risk exposure related to user configuration of wireless settings.
Solution:
To establish the recommended configuration via configuration profiles, set the following Settings Catalog path to Disabled
Administrative Templates\Network\Windows Connect Now\Configuration of wireless settings using Windows Connect Now
Impact:
WCN operations are disabled over all media.
See Also:
https://workbench.cisecurity.org/benchmarks/21719
Reference:
800-171|3.4.2, 800-171|3.4.6, 800-171|3.4.7, 800-171r3|03.04.02, 800-171r3|03.04.06, 800-53|CM-6, 800-53|CM-7, 800-53r5|CM-6, 800-53r5|CM-7, CSCv7|15.4, CSCv7|15.5, CSCv8|4.8, CSF|PR.IP-1, CSF|PR.PT-3, CSF2.0|DE.CM-09, CSF2.0|PR.PS-01, GDPR|32.1.b, HIPAA|164.306(a)(1), ISO-27001-2022|A.8.9, ITSG-33|CM-6, ITSG-33|CM-7, LEVEL|2A, NIAv2|SS15a, PCI-DSSv3.2.1|2.2.2, SWIFT-CSCv1|2.3
Policy Value:
FAILED
Actual Value:
All of the following must pass to satisfy this requirement:
-------------------------
PASSED - EnableRegistrars:
 Remote value: 0
 Policy value: 0
-------------------------
PASSED - DisableUPnPRegistrar:
 Remote value: 0
 Policy value: 0
-------------------------
PASSED - DisableInBand802DOT11Registrar:
 Remote value: 0
 Policy value: 0
-------------------------
PASSED - DisableFlashConfigRegistrar:
 Remote value: 0
 Policy value: 0
-------------------------
PASSED - DisableWPDRegistrar:
 Remote value: 0
 Policy value: 0</t>
  </si>
  <si>
    <t>"4.6.8.1 (L2) Ensure 'Turn on Mapper I/O (LLTDIO) driver' is set to 'Disabled': [PASSED]"
This policy setting changes the operational behavior of the Mapper I/O network protocol driver.
LLTDIO allows a computer to discover the topology of a network it's connected to. It also allows a computer to initiate Quality-of-Service requests such as bandwidth estimation and network health analysis.
The recommended state for this setting is: Disabled
To help protect from potentially discovering and connecting to unauthorized devices, this setting should be disabled to prevent responding to network traffic for network topology discovery.
Solution:
To establish the recommended configuration via configuration profiles, set the following Settings Catalog path to Disabled
Administrative Templates\Network\Link-Layer Topology Discovery\Turn on Mapper I/O (LLTDIO) driver
Impact:
None - this is the default behavior.
See Also:
https://workbench.cisecurity.org/benchmarks/21719
Reference:
800-171|3.4.2, 800-171r3|03.04.02, 800-53|CM-6, 800-53r5|CM-6, CSCv7|5.1, CSF|PR.IP-1, CSF2.0|DE.CM-09, CSF2.0|PR.PS-01, GDPR|32.1.b, HIPAA|164.306(a)(1), ISO-27001-2022|A.8.9, ITSG-33|CM-6, LEVEL|2A, SWIFT-CSCv1|2.3
Policy Value:
FAILED
Actual Value:
All of the following must pass to satisfy this requirement:
-------------------------
PASSED - AllowLLTDIOOnDomain:
 Remote value: 0
 Policy value: 0
-------------------------
PASSED - AllowLLTDIOOnPublicNet:
 Remote value: 0
 Policy value: 0
-------------------------
PASSED - EnableLLTDIO:
 Remote value: 0
 Policy value: 0
-------------------------
PASSED - ProhibitLLTDIOOnPrivateNet:
 Remote value: 0
 Policy value: 0</t>
  </si>
  <si>
    <t>"4.6.8.2 (L2) Ensure 'Turn on Responder (RSPNDR) driver' is set to 'Disabled': [PASSED]"
This policy setting changes the operational behavior of the Responder network protocol driver.
The Responder allows a computer to participate in Link Layer Topology Discovery requests so that it can be discovered and located on the network. It also allows a computer to participate in Quality-of-Service activities such as bandwidth estimation and network health analysis.
The recommended state for this setting is: Disabled
To help protect from potentially discovering and connecting to unauthorized devices, this setting should be disabled to prevent responding to network traffic for network topology discovery.
Solution:
To establish the recommended configuration via configuration profiles, set the following Settings Catalog path to Disabled
Administrative Templates\Network\Link-Layer Topology Discovery\Turn on Responder
Impact:
None - this is the default behavior.
See Also:
https://workbench.cisecurity.org/benchmarks/21719
Reference:
800-171|3.4.2, 800-171r3|03.04.02, 800-53|CM-6, 800-53r5|CM-6, CSCv7|5.1, CSF|PR.IP-1, CSF2.0|DE.CM-09, CSF2.0|PR.PS-01, GDPR|32.1.b, HIPAA|164.306(a)(1), ISO-27001-2022|A.8.9, ITSG-33|CM-6, LEVEL|2A, SWIFT-CSCv1|2.3
Policy Value:
FAILED
Actual Value:
All of the following must pass to satisfy this requirement:
-------------------------
PASSED - AllowRspndrOnDomain:
 Remote value: 0
 Policy value: 0
-------------------------
PASSED - AllowRspndrOnPublicNet:
 Remote value: 0
 Policy value: 0
-------------------------
PASSED - EnableRspndr:
 Remote value: 0
 Policy value: 0
-------------------------
PASSED - ProhibitRspndrOnPrivateNet:
 Remote value: 0
 Policy value: 0</t>
  </si>
  <si>
    <t>"89.24 (L2) Ensure 'Log On As Batch Job' is set to 'Administrators': [PASSED]"
This policy setting allows accounts to log on using the task scheduler service. Because the task scheduler is often used for administrative purposes, it may be needed in enterprise environments. However, its use should be restricted in high security environments to prevent misuse of system resources or to prevent attackers from using the right to launch malicious code after gaining user level access to a computer.
The recommended state for this setting is: *S-1-5-32-544 (Administrators).
The Log on as a batch job user right presents a low-risk vulnerability. For most organizations, the default settings are sufficient.
Solution:
To establish the recommended configuration via configuration profiles, set the following Settings Catalog path to *S-1-5-32-544 (Administrators).
User Rights\Log On As Batch Job
Impact:
If you configure the Log on as a batch job setting through domain-based Group Policies, the computer will not be able to assign the user right to accounts that are used for scheduled jobs in the Task Scheduler. If you install optional components such as ASP.NET or IIS, you might need to assign this user right to additional accounts that are required by those components. For example, IIS requires assignment of this user right to the IIS_WPG group and the IUSR_
(ComputerName)
, ASPNET and IWAM_
(ComputerName)
accounts. If this user right is not assigned to this group and these accounts, IIS will be unable to run some COM objects that are necessary for proper functionality.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LEVEL|2A,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</si>
  <si>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"4.11.36.4.3.5 (L2) Ensure 'Restrict clipboard transfer from server to client' is set to 'Enabled: Disable clipboard transfers from server to client': [PASSED]"
This policy setting controls whether the clipboard can be used to transfer data from the Remote Desktop session to the client.
The recommended state for this setting is: Enabled: Disable clipboard transfers from server to client
In a more security-sensitive environment, it is desirable to reduce the possible attack surface. The need for the clipboard to transfer data from a Remote Desktop session to a client is rare, so it makes sense to reduce the number of unexpected avenues for malicious activity to occur.
Solution:
To establish the recommended configuration via configuration profiles, set the following Settings Catalog path to Enabled: Disable clipboard transfers from server to client
Administrative Templates\Windows Components\Remote Desktop Session Host\Device and Resource Redirection\Restrict clipboard transfer from server to client
Impact:
Users will not be able to transfer clipboard data from the Remote Desktop session to the client.
See Also:
https://workbench.cisecurity.org/benchmarks/21719
Reference:
800-171|3.4.2, 800-171|3.4.6, 800-171|3.4.7, 800-171r3|03.04.02, 800-171r3|03.04.06, 800-53|CM-6, 800-53|CM-7, 800-53r5|CM-6, 800-53r5|CM-7, CSCv8|4.8, CSF|PR.IP-1, CSF|PR.PT-3, CSF2.0|DE.CM-09, CSF2.0|PR.PS-01, GDPR|32.1.b, HIPAA|164.306(a)(1), ISO-27001-2022|A.8.9, ITSG-33|CM-6, ITSG-33|CM-7, LEVEL|2A, NIAv2|SS15a, PCI-DSSv3.2.1|2.2.2, SWIFT-CSCv1|2.3
Policy Value:
0
Actual Value:
0</t>
  </si>
  <si>
    <t>"CIS_Microsoft_Intune_for_Windows_11_v4.0.0_BL.audit from CIS Microsoft Intune for Windows 11 Benchmark v4.0.0: [PASSED]"
See Also:
https://workbench.cisecurity.org/benchmarks/21719
Policy Value:
PASSED
Actual Value:
All of the following must pass to satisfy this requirement:
-------------------------
PASSED - Windows 11 is installed:
 Remote value: '26200'
 Policy value: '2[26][0-9]{3}'
-------------------------
PASSED - Target is enrolled with Microsoft Intune:
 Remote value: 'HKLM\Software\Microsoft\Provisioning\OMADM\Logger'
 Policy value: 'HKLM\Software\Microsoft\Provisioning\OMADM\Logger'
-------------------------
PASSED - Windows 11 installation type:
 Remote value: 'Client'
 Policy value: 'Client'</t>
  </si>
  <si>
    <t>"CIS_Microsoft_Intune_for_Windows_11_v4.0.0_L2.audit from CIS Microsoft Intune for Windows 11 Benchmark v4.0.0: [PASSED]"
See Also:
https://workbench.cisecurity.org/benchmarks/21719
Policy Value:
PASSED
Actual Value:
All of the following must pass to satisfy this requirement:
-------------------------
PASSED - Windows 11 is installed:
 Remote value: '26200'
 Policy value: '2[26][0-9]{3}'
-------------------------
PASSED - Target is enrolled with Microsoft Intune:
 Remote value: 'HKLM\Software\Microsoft\Provisioning\OMADM\Logger'
 Policy value: 'HKLM\Software\Microsoft\Provisioning\OMADM\Logger'
-------------------------
PASSED - Windows 11 installation type:
 Remote value: 'Client'
 Policy value: 'Client'</t>
  </si>
  <si>
    <t>"4.6.11.1 (L1) Ensure 'Hardened UNC Paths' is set to 'Enabled, with 'Require Mutual Authentication', 'Require Integrity', and 'Require Privacy' set for all NETLOGON and SYSVOL shares': [PASSED]"
This policy setting configures secure access to UNC paths.
The recommended state for this setting is: Enabled, with 'Require Mutual Authentication', 'Require Integrity', and 'Require Privacy' set for all NETLOGON and SYSVOL shares
Note: If the environment is 100% managed by Intune these shares will not be available. An exception to this recommendation will be needed.
In February 2015, Microsoft released a new control mechanism to mitigate a security risk in Group Policy as part of the
MS15-011
/
MSKB 3000483
security update. This mechanism requires both the installation of the new security update and also the deployment of specific group policy settings to all computers on the domain from Windows Vista / Server 2008 (non-R2) or newer (the associated security patch to enable this feature was not released for Server 2003). A new group policy template ( NetworkProvider.admx/adml ) was also provided with the security update.
Once the new GPO template is in place, the following are the minimum requirements to remediate the Group Policy security risk:
\\*\NETLOGON RequireMutualAuthentication=1, RequireIntegrity=1, RequirePrivacy=1
\\*\SYSVOL RequireMutualAuthentication=1, RequireIntegrity=1, RequirePrivacy=1
Note: A reboot may be required after the setting is applied to a client machine to access the above paths.
Additional guidance on the deployment of this security setting is available from the Microsoft Premier Field Engineering (PFE) Platforms TechNet Blog here:
Guidance on Deployment of MS15-011 and MS15-014
.
Solution:
To establish the recommended configuration via configuration profiles, set the following Settings Catalog path to Enabled with the following paths configured, at a minimum:
\\*\NETLOGON RequireMutualAuthentication=1, RequireIntegrity=1, RequirePrivacy=1
\\*\SYSVOL RequireMutualAuthentication=1, RequireIntegrity=1, RequirePrivacy=1
Administrative Templates\Network\Network Provider\Hardened UNC Paths
Impact:
Windows only allows access to the specified UNC paths after fulfilling additional security requirements.
See Also:
https://workbench.cisecurity.org/benchmarks/21719
Reference:
800-171r3|03.05.02, 800-53|IA-3(1), 800-53r5|IA-3(1), CSF|PR.AC-1, CSF2.0|PR.AA-01, CSF2.0|PR.AA-03, GDPR|32.1.b, HIPAA|164.306(a)(1), HIPAA|164.312(a)(2)(i), HIPAA|164.312(d), ITSG-33|IA-3(1), LEVEL|1A, NESA|T5.4.3, QCSC-v1|13.2, TBA-FIISB|27.1
Policy Value:
FAILED
Actual Value:
All of the following must pass to satisfy this requirement:
-------------------------
PASSED - NETLOGON:
 Remote value: 'RequireMutualAuthentication=1,RequireIntegrity=1,RequirePrivacy=1'
 Policy value: '[Rr]equire([Mm]utual[Aa]uthentication|[Ii]ntegrity|[Pp]rivacy)=1.*[Rr]equire([Mm]utual[Aa]uthentication|[Ii]ntegrity|[Pp]rivacy)=1.*[Rr]equire([Mm]utual[Aa]uthentication|[Ii]ntegrity|[Pp]rivacy)=1'
-------------------------
PASSED - SYSVOL:
 Remote value: 'RequireMutualAuthentication=1,RequireIntegrity=1,RequirePrivacy=1'
 Policy value: '[Rr]equire([Mm]utual[Aa]uthentication|[Ii]ntegrity|[Pp]rivacy)=1.*[Rr]equire([Mm]utual[Aa]uthentication|[Ii]ntegrity|[Pp]rivacy)=1.*[Rr]equire([Mm]utual[Aa]uthentication|[Ii]ntegrity|[Pp]rivacy)=1'</t>
  </si>
  <si>
    <t>"49.9 (L1) Configure 'Interactive logon: Message text for users attempting to log on': [PASSED]"
This policy setting specifies a text message that displays to users when they log on. Set the following group policy to a value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 This text is often used for legal reasons-for example, to warn users about the ramifications of misusing company information or to warn them that their actions may be audited.
Note: Any warning that you display should first be approved by your organization's legal and human resources representatives.
Solution:
To establish the recommended configuration via configuration profiles, set the following Settings Catalog path to a value that is consistent with the security and operational requirements of your organization:
Local Policies Security Options\Interactive logon: Message text for users attempting to log on
Impact:
Users will have to acknowledge a dialog box containing the configured text before they can log on to the system.
Warning:
Windows Autopilot - Policy Conflicts
: Windows Autopilot pre-provisioning doesn't work when this policy setting is configured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See Also:
https://workbench.cisecurity.org/benchmarks/21719
Reference:
800-171|3.1.9, 800-171r3|03.01.09, 800-53|AC-8, 800-53r5|AC-8, GDPR|32.1.b, HIPAA|164.306(a)(1), ISO-27001-2022|A.8.5, ITSG-33|AC-8, LEVEL|1A, NESA|M1.3.6, TBA-FIISB|45.2.4
Policy Value:
'All activities performed on this system will be monitored.'
Actual Value:
'This computer system is managed by the University of Mississippi Foundation. Access is hereby granted for authorized use only. By using this system, you acknowledge notice and acceptance of the UM Foundation Acceptable Use Policy.'</t>
  </si>
  <si>
    <t>"49.10 (L1) Configure 'Interactive logon: Message title for users attempting to log on': [PASSED]"
This policy setting specifies the text displayed in the title bar of the window that users see when they log on to the system. Configure this setting in a manner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
Solution:
To establish the recommended configuration via configuration profiles, set the following Settings Catalog path to a value that is consistent with the security and operational requirements of your organization:
Local Policies Security Options\Interactive logon: Message title for users attempting to log on
Impact:
Users will have to acknowledge a dialog box with the configured title before they can log on to the computer.
Warning:
Windows Autopilot - Policy Conflicts
: Windows Autopilot pre-provisioning doesn't work when this policy setting is configured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See Also:
https://workbench.cisecurity.org/benchmarks/21719
Reference:
800-171|3.1.9, 800-171r3|03.01.09, 800-53|AC-8, 800-53r5|AC-8, GDPR|32.1.b, HIPAA|164.306(a)(1), ISO-27001-2022|A.8.5, ITSG-33|AC-8, LEVEL|1A, NESA|M1.3.6, TBA-FIISB|45.2.4
Policy Value:
'Notice and Consent Banner'
Actual Value:
'Login'</t>
  </si>
  <si>
    <t>Audit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</si>
</sst>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1"/>
      <color rgb="FF00B050"/>
      <name val="Aptos Narrow"/>
      <family val="2"/>
      <scheme val="minor"/>
    </font>
    <font>
      <b/>
      <sz val="11"/>
      <color rgb="FFC00000"/>
      <name val="Aptos Narrow"/>
      <family val="2"/>
      <scheme val="minor"/>
    </font>
    <font>
      <b/>
      <sz val="11"/>
      <color rgb="FF0070C0"/>
      <name val="Aptos Narrow"/>
      <family val="2"/>
      <scheme val="minor"/>
    </font>
    <font>
      <b/>
      <sz val="11"/>
      <color rgb="FF00B050"/>
      <name val="Calibri"/>
      <family val="2"/>
    </font>
    <font>
      <sz val="11"/>
      <color theme="1"/>
      <name val="Calibri"/>
      <family val="2"/>
    </font>
    <font>
      <b/>
      <sz val="11"/>
      <color rgb="FFC00000"/>
      <name val="Calibri"/>
      <family val="2"/>
    </font>
    <font>
      <b/>
      <sz val="11"/>
      <color rgb="FF0070C0"/>
      <name val="Calibri"/>
      <family val="2"/>
    </font>
    <font>
      <b/>
      <sz val="11"/>
      <color theme="5" tint="-0.249977111117893"/>
      <name val="Calibri"/>
      <family val="2"/>
    </font>
    <font>
      <b/>
      <sz val="11"/>
      <color theme="1"/>
      <name val="Calibri"/>
      <family val="2"/>
    </font>
    <font>
      <sz val="11"/>
      <color rgb="FF9C0006"/>
      <name val="Aptos Narrow"/>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2">
    <xf numFmtId="0" fontId="0" fillId="0" borderId="0"/>
    <xf numFmtId="0" fontId="11" fillId="2" borderId="0" applyNumberFormat="0" applyBorder="0" applyAlignment="0" applyProtection="0"/>
  </cellStyleXfs>
  <cellXfs count="22">
    <xf numFmtId="0" fontId="0" fillId="0" borderId="0" xfId="0"/>
    <xf numFmtId="0" fontId="2" fillId="0" borderId="0" xfId="0" applyFont="1"/>
    <xf numFmtId="0" fontId="3" fillId="0" borderId="0" xfId="0" applyFont="1"/>
    <xf numFmtId="1" fontId="4" fillId="0" borderId="1" xfId="0" applyNumberFormat="1" applyFont="1" applyBorder="1" applyAlignment="1">
      <alignment horizontal="right"/>
    </xf>
    <xf numFmtId="0" fontId="1" fillId="0" borderId="0" xfId="0" applyFont="1" applyAlignment="1">
      <alignment vertical="center"/>
    </xf>
    <xf numFmtId="2" fontId="5" fillId="0" borderId="0" xfId="0" applyNumberFormat="1" applyFont="1"/>
    <xf numFmtId="0" fontId="6" fillId="0" borderId="0" xfId="0" applyFont="1"/>
    <xf numFmtId="2" fontId="7" fillId="0" borderId="0" xfId="0" applyNumberFormat="1" applyFont="1"/>
    <xf numFmtId="2" fontId="8" fillId="0" borderId="1" xfId="0" applyNumberFormat="1" applyFont="1" applyBorder="1"/>
    <xf numFmtId="2" fontId="9" fillId="0" borderId="0" xfId="0" applyNumberFormat="1" applyFont="1"/>
    <xf numFmtId="2" fontId="6" fillId="0" borderId="0" xfId="0" applyNumberFormat="1" applyFont="1"/>
    <xf numFmtId="2" fontId="10" fillId="0" borderId="0" xfId="0" applyNumberFormat="1" applyFont="1" applyAlignment="1">
      <alignment vertical="center"/>
    </xf>
    <xf numFmtId="0" fontId="10" fillId="0" borderId="0" xfId="0" applyFont="1" applyAlignment="1">
      <alignment vertical="center"/>
    </xf>
    <xf numFmtId="0" fontId="6" fillId="0" borderId="0" xfId="0" applyFont="1" applyAlignment="1">
      <alignment horizontal="left" vertical="top"/>
    </xf>
    <xf numFmtId="0" fontId="1" fillId="0" borderId="0" xfId="0" applyFont="1" applyAlignment="1">
      <alignment horizontal="left" vertical="top"/>
    </xf>
    <xf numFmtId="0" fontId="11" fillId="2" borderId="0" xfId="1" applyAlignment="1">
      <alignment horizontal="left" vertical="top"/>
    </xf>
    <xf numFmtId="0" fontId="11" fillId="2" borderId="0" xfId="1"/>
    <xf numFmtId="0" fontId="1" fillId="0" borderId="0" xfId="0" applyFont="1" applyAlignment="1">
      <alignment horizontal="left" vertical="top" wrapText="1"/>
    </xf>
    <xf numFmtId="0" fontId="6" fillId="0" borderId="0" xfId="0" applyFont="1" applyAlignment="1">
      <alignment horizontal="left" vertical="top" wrapText="1"/>
    </xf>
    <xf numFmtId="0" fontId="0" fillId="0" borderId="0" xfId="0" applyAlignment="1">
      <alignment vertical="top" wrapText="1"/>
    </xf>
    <xf numFmtId="0" fontId="6" fillId="0" borderId="0" xfId="0" applyFont="1" applyAlignment="1">
      <alignment vertical="top"/>
    </xf>
    <xf numFmtId="0" fontId="10" fillId="0" borderId="0" xfId="0" applyFont="1" applyAlignment="1">
      <alignment vertical="top"/>
    </xf>
  </cellXfs>
  <cellStyles count="2">
    <cellStyle name="Bad" xfId="1" builtinId="27"/>
    <cellStyle name="Normal" xfId="0" builtinId="0"/>
  </cellStyles>
  <dxfs count="2">
    <dxf>
      <font>
        <b/>
        <i val="0"/>
        <color theme="0"/>
      </font>
      <fill>
        <patternFill>
          <bgColor rgb="FF00B050"/>
        </patternFill>
      </fill>
    </dxf>
    <dxf>
      <font>
        <b/>
        <i val="0"/>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5186F-163D-43CA-BFD2-85ACCE2573B3}">
  <sheetPr filterMode="1"/>
  <dimension ref="A1:L471"/>
  <sheetViews>
    <sheetView tabSelected="1" zoomScale="115" zoomScaleNormal="115" workbookViewId="0">
      <selection activeCell="F54" sqref="F54"/>
    </sheetView>
  </sheetViews>
  <sheetFormatPr defaultRowHeight="17" customHeight="1" x14ac:dyDescent="0.35"/>
  <cols>
    <col min="1" max="1" width="20.453125" style="6" bestFit="1" customWidth="1"/>
    <col min="2" max="2" width="8.36328125" style="6" bestFit="1" customWidth="1"/>
    <col min="3" max="3" width="145.26953125" style="20" bestFit="1" customWidth="1"/>
    <col min="4" max="4" width="58.1796875" style="13" customWidth="1"/>
    <col min="5" max="5" width="18.90625" style="6" bestFit="1" customWidth="1"/>
    <col min="6" max="6" width="8.453125" style="6" bestFit="1" customWidth="1"/>
    <col min="7" max="7" width="7.81640625" style="13" bestFit="1" customWidth="1"/>
    <col min="8" max="12" width="5" style="13" bestFit="1" customWidth="1"/>
    <col min="13" max="16384" width="8.7265625" style="6"/>
  </cols>
  <sheetData>
    <row r="1" spans="1:12" ht="17" customHeight="1" x14ac:dyDescent="0.35">
      <c r="A1" s="5" t="s">
        <v>0</v>
      </c>
      <c r="B1" s="1">
        <f>COUNTIF(B7:B99984,"PASSED")</f>
        <v>426</v>
      </c>
    </row>
    <row r="2" spans="1:12" ht="17" customHeight="1" x14ac:dyDescent="0.35">
      <c r="A2" s="7" t="s">
        <v>1</v>
      </c>
      <c r="B2" s="2">
        <f>COUNTIF(B7:B99984,"FAILED")</f>
        <v>33</v>
      </c>
    </row>
    <row r="3" spans="1:12" ht="17" customHeight="1" x14ac:dyDescent="0.35">
      <c r="A3" s="8" t="s">
        <v>2</v>
      </c>
      <c r="B3" s="3">
        <f>COUNTIF(F7:F99984,"None")</f>
        <v>33</v>
      </c>
    </row>
    <row r="4" spans="1:12" ht="17" customHeight="1" x14ac:dyDescent="0.35">
      <c r="A4" s="9" t="s">
        <v>3</v>
      </c>
      <c r="B4" s="2">
        <f>B2-B3</f>
        <v>0</v>
      </c>
    </row>
    <row r="5" spans="1:12" ht="17" customHeight="1" x14ac:dyDescent="0.35">
      <c r="A5" s="10"/>
    </row>
    <row r="6" spans="1:12" ht="17" customHeight="1" x14ac:dyDescent="0.35">
      <c r="A6" s="11" t="s">
        <v>4</v>
      </c>
      <c r="B6" s="12" t="s">
        <v>5</v>
      </c>
      <c r="C6" s="21" t="s">
        <v>6</v>
      </c>
      <c r="D6" s="17" t="s">
        <v>321</v>
      </c>
      <c r="E6" s="4" t="s">
        <v>322</v>
      </c>
      <c r="F6" s="4" t="s">
        <v>323</v>
      </c>
      <c r="G6" s="14" t="s">
        <v>324</v>
      </c>
      <c r="H6" s="14" t="s">
        <v>325</v>
      </c>
      <c r="I6" s="14" t="s">
        <v>326</v>
      </c>
      <c r="J6" s="14" t="s">
        <v>327</v>
      </c>
      <c r="K6" s="14" t="s">
        <v>328</v>
      </c>
      <c r="L6" s="14" t="s">
        <v>329</v>
      </c>
    </row>
    <row r="7" spans="1:12" ht="15" hidden="1" customHeight="1" x14ac:dyDescent="0.35">
      <c r="A7" s="6" t="str">
        <f>MID(C7,2,FIND(")",C7,1)-5)</f>
        <v xml:space="preserve">1.1 </v>
      </c>
      <c r="B7" t="str">
        <f>IF(ISNUMBER(FIND("[PASSED]",C7,1)),"PASSED","FAILED")</f>
        <v>PASSED</v>
      </c>
      <c r="C7" s="19" t="s">
        <v>140</v>
      </c>
      <c r="D7" s="6"/>
      <c r="G7" s="13">
        <v>1</v>
      </c>
      <c r="H7" s="13">
        <v>1</v>
      </c>
    </row>
    <row r="8" spans="1:12" ht="15" hidden="1" customHeight="1" x14ac:dyDescent="0.35">
      <c r="A8" s="6" t="str">
        <f>MID(C8,2,FIND(")",C8,1)-5)</f>
        <v xml:space="preserve">4.1.3.1 </v>
      </c>
      <c r="B8" t="str">
        <f>IF(ISNUMBER(FIND("[PASSED]",C8,1)),"PASSED","FAILED")</f>
        <v>PASSED</v>
      </c>
      <c r="C8" s="19" t="s">
        <v>7</v>
      </c>
      <c r="D8" s="6"/>
      <c r="G8" s="13">
        <v>4</v>
      </c>
      <c r="H8" s="13">
        <v>1</v>
      </c>
      <c r="I8" s="13">
        <v>3</v>
      </c>
      <c r="J8" s="13">
        <v>1</v>
      </c>
    </row>
    <row r="9" spans="1:12" ht="15" hidden="1" customHeight="1" x14ac:dyDescent="0.35">
      <c r="A9" s="6" t="str">
        <f>MID(C9,2,FIND(")",C9,1)-5)</f>
        <v xml:space="preserve">4.1.3.2 </v>
      </c>
      <c r="B9" t="str">
        <f>IF(ISNUMBER(FIND("[PASSED]",C9,1)),"PASSED","FAILED")</f>
        <v>PASSED</v>
      </c>
      <c r="C9" s="19" t="s">
        <v>36</v>
      </c>
      <c r="D9" s="6"/>
      <c r="G9" s="13">
        <v>4</v>
      </c>
      <c r="H9" s="13">
        <v>1</v>
      </c>
      <c r="I9" s="13">
        <v>3</v>
      </c>
      <c r="J9" s="13">
        <v>2</v>
      </c>
    </row>
    <row r="10" spans="1:12" ht="15" hidden="1" customHeight="1" x14ac:dyDescent="0.35">
      <c r="A10" s="6" t="str">
        <f>MID(C10,2,FIND(")",C10,1)-5)</f>
        <v xml:space="preserve">4.4.1 </v>
      </c>
      <c r="B10" t="str">
        <f>IF(ISNUMBER(FIND("[PASSED]",C10,1)),"PASSED","FAILED")</f>
        <v>PASSED</v>
      </c>
      <c r="C10" s="19" t="s">
        <v>114</v>
      </c>
      <c r="G10" s="13">
        <v>4</v>
      </c>
      <c r="H10" s="13">
        <v>4</v>
      </c>
      <c r="I10" s="13">
        <v>1</v>
      </c>
    </row>
    <row r="11" spans="1:12" ht="15" hidden="1" customHeight="1" x14ac:dyDescent="0.35">
      <c r="A11" s="6" t="str">
        <f>MID(C11,2,FIND(")",C11,1)-5)</f>
        <v xml:space="preserve">4.4.2 </v>
      </c>
      <c r="B11" t="str">
        <f>IF(ISNUMBER(FIND("[PASSED]",C11,1)),"PASSED","FAILED")</f>
        <v>PASSED</v>
      </c>
      <c r="C11" s="19" t="s">
        <v>245</v>
      </c>
      <c r="D11" s="6"/>
      <c r="G11" s="13">
        <v>4</v>
      </c>
      <c r="H11" s="13">
        <v>4</v>
      </c>
      <c r="I11" s="13">
        <v>2</v>
      </c>
    </row>
    <row r="12" spans="1:12" ht="15" hidden="1" customHeight="1" x14ac:dyDescent="0.35">
      <c r="A12" s="6" t="str">
        <f>MID(C12,2,FIND(")",C12,1)-5)</f>
        <v xml:space="preserve">4.4.3 </v>
      </c>
      <c r="B12" t="str">
        <f>IF(ISNUMBER(FIND("[PASSED]",C12,1)),"PASSED","FAILED")</f>
        <v>PASSED</v>
      </c>
      <c r="C12" s="19" t="s">
        <v>107</v>
      </c>
      <c r="D12" s="18"/>
      <c r="G12" s="13">
        <v>4</v>
      </c>
      <c r="H12" s="13">
        <v>4</v>
      </c>
      <c r="I12" s="13">
        <v>3</v>
      </c>
    </row>
    <row r="13" spans="1:12" ht="15" hidden="1" customHeight="1" x14ac:dyDescent="0.35">
      <c r="A13" s="6" t="str">
        <f>MID(C13,2,FIND(")",C13,1)-5)</f>
        <v xml:space="preserve">4.4.4 </v>
      </c>
      <c r="B13" t="str">
        <f>IF(ISNUMBER(FIND("[PASSED]",C13,1)),"PASSED","FAILED")</f>
        <v>PASSED</v>
      </c>
      <c r="C13" s="19" t="s">
        <v>147</v>
      </c>
      <c r="D13" s="6"/>
      <c r="G13" s="13">
        <v>4</v>
      </c>
      <c r="H13" s="13">
        <v>4</v>
      </c>
      <c r="I13" s="13">
        <v>4</v>
      </c>
    </row>
    <row r="14" spans="1:12" ht="15" hidden="1" customHeight="1" x14ac:dyDescent="0.35">
      <c r="A14" s="6" t="str">
        <f>MID(C14,2,FIND(")",C14,1)-5)</f>
        <v xml:space="preserve">4.4.5 </v>
      </c>
      <c r="B14" t="str">
        <f>IF(ISNUMBER(FIND("[PASSED]",C14,1)),"PASSED","FAILED")</f>
        <v>PASSED</v>
      </c>
      <c r="C14" s="19" t="s">
        <v>271</v>
      </c>
      <c r="D14" s="6"/>
      <c r="G14" s="13">
        <v>4</v>
      </c>
      <c r="H14" s="13">
        <v>4</v>
      </c>
      <c r="I14" s="13">
        <v>5</v>
      </c>
    </row>
    <row r="15" spans="1:12" ht="15" hidden="1" customHeight="1" x14ac:dyDescent="0.35">
      <c r="A15" s="6" t="str">
        <f>MID(C15,2,FIND(")",C15,1)-5)</f>
        <v xml:space="preserve">4.5.1 </v>
      </c>
      <c r="B15" t="str">
        <f>IF(ISNUMBER(FIND("[PASSED]",C15,1)),"PASSED","FAILED")</f>
        <v>PASSED</v>
      </c>
      <c r="C15" s="19" t="s">
        <v>16</v>
      </c>
      <c r="D15" s="6"/>
      <c r="G15" s="13">
        <v>4</v>
      </c>
      <c r="H15" s="13">
        <v>5</v>
      </c>
      <c r="I15" s="13">
        <v>1</v>
      </c>
    </row>
    <row r="16" spans="1:12" ht="15" hidden="1" customHeight="1" x14ac:dyDescent="0.35">
      <c r="A16" s="6" t="str">
        <f>MID(C16,2,FIND(")",C16,1)-5)</f>
        <v xml:space="preserve">4.5.2 </v>
      </c>
      <c r="B16" t="str">
        <f>IF(ISNUMBER(FIND("[PASSED]",C16,1)),"PASSED","FAILED")</f>
        <v>PASSED</v>
      </c>
      <c r="C16" s="19" t="s">
        <v>162</v>
      </c>
      <c r="D16" s="6"/>
      <c r="G16" s="13">
        <v>4</v>
      </c>
      <c r="H16" s="13">
        <v>5</v>
      </c>
      <c r="I16" s="13">
        <v>2</v>
      </c>
    </row>
    <row r="17" spans="1:10" ht="15" hidden="1" customHeight="1" x14ac:dyDescent="0.35">
      <c r="A17" s="6" t="str">
        <f>MID(C17,2,FIND(")",C17,1)-5)</f>
        <v xml:space="preserve">4.5.3 </v>
      </c>
      <c r="B17" t="str">
        <f>IF(ISNUMBER(FIND("[PASSED]",C17,1)),"PASSED","FAILED")</f>
        <v>PASSED</v>
      </c>
      <c r="C17" s="19" t="s">
        <v>256</v>
      </c>
      <c r="D17" s="6"/>
      <c r="G17" s="13">
        <v>4</v>
      </c>
      <c r="H17" s="13">
        <v>5</v>
      </c>
      <c r="I17" s="13">
        <v>3</v>
      </c>
    </row>
    <row r="18" spans="1:10" ht="15" hidden="1" customHeight="1" x14ac:dyDescent="0.35">
      <c r="A18" s="6" t="str">
        <f>MID(C18,2,FIND(")",C18,1)-5)</f>
        <v xml:space="preserve">4.5.4 </v>
      </c>
      <c r="B18" t="str">
        <f>IF(ISNUMBER(FIND("[PASSED]",C18,1)),"PASSED","FAILED")</f>
        <v>PASSED</v>
      </c>
      <c r="C18" s="19" t="s">
        <v>404</v>
      </c>
      <c r="D18" s="18"/>
      <c r="G18" s="13">
        <v>4</v>
      </c>
      <c r="H18" s="13">
        <v>5</v>
      </c>
      <c r="I18" s="13">
        <v>4</v>
      </c>
    </row>
    <row r="19" spans="1:10" ht="15" hidden="1" customHeight="1" x14ac:dyDescent="0.35">
      <c r="A19" s="6" t="str">
        <f>MID(C19,2,FIND(")",C19,1)-5)</f>
        <v xml:space="preserve">4.5.5 </v>
      </c>
      <c r="B19" t="str">
        <f>IF(ISNUMBER(FIND("[PASSED]",C19,1)),"PASSED","FAILED")</f>
        <v>PASSED</v>
      </c>
      <c r="C19" s="19" t="s">
        <v>177</v>
      </c>
      <c r="D19" s="6"/>
      <c r="G19" s="13">
        <v>4</v>
      </c>
      <c r="H19" s="13">
        <v>5</v>
      </c>
      <c r="I19" s="13">
        <v>5</v>
      </c>
    </row>
    <row r="20" spans="1:10" ht="15" hidden="1" customHeight="1" x14ac:dyDescent="0.35">
      <c r="A20" s="6" t="str">
        <f>MID(C20,2,FIND(")",C20,1)-5)</f>
        <v xml:space="preserve">4.5.6 </v>
      </c>
      <c r="B20" t="str">
        <f>IF(ISNUMBER(FIND("[PASSED]",C20,1)),"PASSED","FAILED")</f>
        <v>PASSED</v>
      </c>
      <c r="C20" s="19" t="s">
        <v>410</v>
      </c>
      <c r="D20" s="6"/>
      <c r="G20" s="13">
        <v>4</v>
      </c>
      <c r="H20" s="13">
        <v>5</v>
      </c>
      <c r="I20" s="13">
        <v>6</v>
      </c>
    </row>
    <row r="21" spans="1:10" ht="15" hidden="1" customHeight="1" x14ac:dyDescent="0.35">
      <c r="A21" s="6" t="str">
        <f>MID(C21,2,FIND(")",C21,1)-5)</f>
        <v xml:space="preserve">4.5.7 </v>
      </c>
      <c r="B21" t="str">
        <f>IF(ISNUMBER(FIND("[PASSED]",C21,1)),"PASSED","FAILED")</f>
        <v>PASSED</v>
      </c>
      <c r="C21" s="19" t="s">
        <v>113</v>
      </c>
      <c r="D21" s="6"/>
      <c r="G21" s="13">
        <v>4</v>
      </c>
      <c r="H21" s="13">
        <v>5</v>
      </c>
      <c r="I21" s="13">
        <v>7</v>
      </c>
    </row>
    <row r="22" spans="1:10" ht="15" hidden="1" customHeight="1" x14ac:dyDescent="0.35">
      <c r="A22" s="6" t="str">
        <f>MID(C22,2,FIND(")",C22,1)-5)</f>
        <v xml:space="preserve">4.5.8 </v>
      </c>
      <c r="B22" t="str">
        <f>IF(ISNUMBER(FIND("[PASSED]",C22,1)),"PASSED","FAILED")</f>
        <v>PASSED</v>
      </c>
      <c r="C22" s="19" t="s">
        <v>446</v>
      </c>
      <c r="D22" s="6"/>
      <c r="G22" s="13">
        <v>4</v>
      </c>
      <c r="H22" s="13">
        <v>5</v>
      </c>
      <c r="I22" s="13">
        <v>8</v>
      </c>
    </row>
    <row r="23" spans="1:10" ht="15" hidden="1" customHeight="1" x14ac:dyDescent="0.35">
      <c r="A23" s="6" t="str">
        <f>MID(C23,2,FIND(")",C23,1)-5)</f>
        <v xml:space="preserve">4.5.9 </v>
      </c>
      <c r="B23" t="str">
        <f>IF(ISNUMBER(FIND("[PASSED]",C23,1)),"PASSED","FAILED")</f>
        <v>PASSED</v>
      </c>
      <c r="C23" s="19" t="s">
        <v>37</v>
      </c>
      <c r="D23" s="6"/>
      <c r="G23" s="13">
        <v>4</v>
      </c>
      <c r="H23" s="13">
        <v>5</v>
      </c>
      <c r="I23" s="13">
        <v>9</v>
      </c>
    </row>
    <row r="24" spans="1:10" ht="15" hidden="1" customHeight="1" x14ac:dyDescent="0.35">
      <c r="A24" s="6" t="str">
        <f>MID(C24,2,FIND(")",C24,1)-5)</f>
        <v xml:space="preserve">4.5.10 </v>
      </c>
      <c r="B24" t="str">
        <f>IF(ISNUMBER(FIND("[PASSED]",C24,1)),"PASSED","FAILED")</f>
        <v>PASSED</v>
      </c>
      <c r="C24" s="19" t="s">
        <v>71</v>
      </c>
      <c r="D24" s="6"/>
      <c r="G24" s="13">
        <v>4</v>
      </c>
      <c r="H24" s="13">
        <v>5</v>
      </c>
      <c r="I24" s="13">
        <v>10</v>
      </c>
    </row>
    <row r="25" spans="1:10" ht="15" hidden="1" customHeight="1" x14ac:dyDescent="0.35">
      <c r="A25" s="6" t="str">
        <f>MID(C25,2,FIND(")",C25,1)-5)</f>
        <v xml:space="preserve">4.5.11 </v>
      </c>
      <c r="B25" t="str">
        <f>IF(ISNUMBER(FIND("[PASSED]",C25,1)),"PASSED","FAILED")</f>
        <v>PASSED</v>
      </c>
      <c r="C25" s="19" t="s">
        <v>447</v>
      </c>
      <c r="D25" s="6"/>
      <c r="G25" s="13">
        <v>4</v>
      </c>
      <c r="H25" s="13">
        <v>5</v>
      </c>
      <c r="I25" s="13">
        <v>11</v>
      </c>
    </row>
    <row r="26" spans="1:10" ht="15" hidden="1" customHeight="1" x14ac:dyDescent="0.35">
      <c r="A26" s="6" t="str">
        <f>MID(C26,2,FIND(")",C26,1)-5)</f>
        <v xml:space="preserve">4.5.12 </v>
      </c>
      <c r="B26" t="str">
        <f>IF(ISNUMBER(FIND("[PASSED]",C26,1)),"PASSED","FAILED")</f>
        <v>PASSED</v>
      </c>
      <c r="C26" s="19" t="s">
        <v>381</v>
      </c>
      <c r="D26" s="6"/>
      <c r="G26" s="13">
        <v>4</v>
      </c>
      <c r="H26" s="13">
        <v>5</v>
      </c>
      <c r="I26" s="13">
        <v>12</v>
      </c>
    </row>
    <row r="27" spans="1:10" ht="15" hidden="1" customHeight="1" x14ac:dyDescent="0.35">
      <c r="A27" s="6" t="str">
        <f>MID(C27,2,FIND(")",C27,1)-5)</f>
        <v xml:space="preserve">4.5.13 </v>
      </c>
      <c r="B27" t="str">
        <f>IF(ISNUMBER(FIND("[PASSED]",C27,1)),"PASSED","FAILED")</f>
        <v>PASSED</v>
      </c>
      <c r="C27" s="19" t="s">
        <v>185</v>
      </c>
      <c r="G27" s="13">
        <v>4</v>
      </c>
      <c r="H27" s="13">
        <v>5</v>
      </c>
      <c r="I27" s="13">
        <v>13</v>
      </c>
    </row>
    <row r="28" spans="1:10" ht="15" hidden="1" customHeight="1" x14ac:dyDescent="0.35">
      <c r="A28" s="6" t="str">
        <f>MID(C28,2,FIND(")",C28,1)-5)</f>
        <v xml:space="preserve">4.6.4.1 </v>
      </c>
      <c r="B28" t="str">
        <f>IF(ISNUMBER(FIND("[PASSED]",C28,1)),"PASSED","FAILED")</f>
        <v>PASSED</v>
      </c>
      <c r="C28" s="19" t="s">
        <v>97</v>
      </c>
      <c r="D28" s="6"/>
      <c r="G28" s="13">
        <v>4</v>
      </c>
      <c r="H28" s="13">
        <v>6</v>
      </c>
      <c r="I28" s="13">
        <v>4</v>
      </c>
      <c r="J28" s="13">
        <v>1</v>
      </c>
    </row>
    <row r="29" spans="1:10" ht="15" hidden="1" customHeight="1" x14ac:dyDescent="0.35">
      <c r="A29" s="6" t="str">
        <f>MID(C29,2,FIND(")",C29,1)-5)</f>
        <v xml:space="preserve">4.6.8.1 </v>
      </c>
      <c r="B29" t="str">
        <f>IF(ISNUMBER(FIND("[PASSED]",C29,1)),"PASSED","FAILED")</f>
        <v>PASSED</v>
      </c>
      <c r="C29" s="19" t="s">
        <v>498</v>
      </c>
      <c r="D29" s="6"/>
      <c r="G29" s="13">
        <v>4</v>
      </c>
      <c r="H29" s="13">
        <v>6</v>
      </c>
      <c r="I29" s="13">
        <v>8</v>
      </c>
      <c r="J29" s="13">
        <v>1</v>
      </c>
    </row>
    <row r="30" spans="1:10" ht="15" hidden="1" customHeight="1" x14ac:dyDescent="0.35">
      <c r="A30" s="6" t="str">
        <f>MID(C30,2,FIND(")",C30,1)-5)</f>
        <v xml:space="preserve">4.6.8.2 </v>
      </c>
      <c r="B30" t="str">
        <f>IF(ISNUMBER(FIND("[PASSED]",C30,1)),"PASSED","FAILED")</f>
        <v>PASSED</v>
      </c>
      <c r="C30" s="19" t="s">
        <v>499</v>
      </c>
      <c r="D30" s="6"/>
      <c r="G30" s="13">
        <v>4</v>
      </c>
      <c r="H30" s="13">
        <v>6</v>
      </c>
      <c r="I30" s="13">
        <v>8</v>
      </c>
      <c r="J30" s="13">
        <v>2</v>
      </c>
    </row>
    <row r="31" spans="1:10" ht="15" hidden="1" customHeight="1" x14ac:dyDescent="0.35">
      <c r="A31" s="6" t="str">
        <f>MID(C31,2,FIND(")",C31,1)-5)</f>
        <v xml:space="preserve">4.6.9.1 </v>
      </c>
      <c r="B31" t="str">
        <f>IF(ISNUMBER(FIND("[PASSED]",C31,1)),"PASSED","FAILED")</f>
        <v>PASSED</v>
      </c>
      <c r="C31" s="19" t="s">
        <v>79</v>
      </c>
      <c r="D31" s="6"/>
      <c r="G31" s="13">
        <v>4</v>
      </c>
      <c r="H31" s="13">
        <v>6</v>
      </c>
      <c r="I31" s="13">
        <v>9</v>
      </c>
      <c r="J31" s="13">
        <v>1</v>
      </c>
    </row>
    <row r="32" spans="1:10" ht="15" hidden="1" customHeight="1" x14ac:dyDescent="0.35">
      <c r="A32" s="6" t="str">
        <f>MID(C32,2,FIND(")",C32,1)-5)</f>
        <v xml:space="preserve">4.6.9.2 </v>
      </c>
      <c r="B32" t="str">
        <f>IF(ISNUMBER(FIND("[PASSED]",C32,1)),"PASSED","FAILED")</f>
        <v>PASSED</v>
      </c>
      <c r="C32" s="19" t="s">
        <v>207</v>
      </c>
      <c r="G32" s="13">
        <v>4</v>
      </c>
      <c r="H32" s="13">
        <v>6</v>
      </c>
      <c r="I32" s="13">
        <v>9</v>
      </c>
      <c r="J32" s="13">
        <v>2</v>
      </c>
    </row>
    <row r="33" spans="1:10" ht="15" hidden="1" customHeight="1" x14ac:dyDescent="0.35">
      <c r="A33" s="6" t="str">
        <f>MID(C33,2,FIND(")",C33,1)-5)</f>
        <v xml:space="preserve">4.6.9.3 </v>
      </c>
      <c r="B33" t="str">
        <f>IF(ISNUMBER(FIND("[PASSED]",C33,1)),"PASSED","FAILED")</f>
        <v>PASSED</v>
      </c>
      <c r="C33" s="19" t="s">
        <v>188</v>
      </c>
      <c r="G33" s="13">
        <v>4</v>
      </c>
      <c r="H33" s="13">
        <v>6</v>
      </c>
      <c r="I33" s="13">
        <v>9</v>
      </c>
      <c r="J33" s="13">
        <v>3</v>
      </c>
    </row>
    <row r="34" spans="1:10" ht="15" hidden="1" customHeight="1" x14ac:dyDescent="0.35">
      <c r="A34" s="6" t="str">
        <f>MID(C34,2,FIND(")",C34,1)-5)</f>
        <v xml:space="preserve">4.6.11.1 </v>
      </c>
      <c r="B34" t="str">
        <f>IF(ISNUMBER(FIND("[PASSED]",C34,1)),"PASSED","FAILED")</f>
        <v>PASSED</v>
      </c>
      <c r="C34" s="19" t="s">
        <v>504</v>
      </c>
      <c r="G34" s="13">
        <v>4</v>
      </c>
      <c r="H34" s="13">
        <v>6</v>
      </c>
      <c r="I34" s="13">
        <v>11</v>
      </c>
      <c r="J34" s="13">
        <v>1</v>
      </c>
    </row>
    <row r="35" spans="1:10" ht="15" hidden="1" customHeight="1" x14ac:dyDescent="0.35">
      <c r="A35" s="6" t="str">
        <f>MID(C35,2,FIND(")",C35,1)-5)</f>
        <v xml:space="preserve">4.6.17.1 </v>
      </c>
      <c r="B35" t="str">
        <f>IF(ISNUMBER(FIND("[PASSED]",C35,1)),"PASSED","FAILED")</f>
        <v>PASSED</v>
      </c>
      <c r="C35" s="19" t="s">
        <v>497</v>
      </c>
      <c r="D35" s="6"/>
      <c r="G35" s="13">
        <v>4</v>
      </c>
      <c r="H35" s="13">
        <v>6</v>
      </c>
      <c r="I35" s="13">
        <v>17</v>
      </c>
      <c r="J35" s="13">
        <v>1</v>
      </c>
    </row>
    <row r="36" spans="1:10" ht="15" hidden="1" customHeight="1" x14ac:dyDescent="0.35">
      <c r="A36" s="6" t="str">
        <f>MID(C36,2,FIND(")",C36,1)-5)</f>
        <v xml:space="preserve">4.6.17.2 </v>
      </c>
      <c r="B36" t="str">
        <f>IF(ISNUMBER(FIND("[PASSED]",C36,1)),"PASSED","FAILED")</f>
        <v>PASSED</v>
      </c>
      <c r="C36" s="19" t="s">
        <v>386</v>
      </c>
      <c r="G36" s="13">
        <v>4</v>
      </c>
      <c r="H36" s="13">
        <v>6</v>
      </c>
      <c r="I36" s="13">
        <v>17</v>
      </c>
      <c r="J36" s="13">
        <v>2</v>
      </c>
    </row>
    <row r="37" spans="1:10" ht="15" hidden="1" customHeight="1" x14ac:dyDescent="0.35">
      <c r="A37" s="6" t="str">
        <f>MID(C37,2,FIND(")",C37,1)-5)</f>
        <v xml:space="preserve">4.6.18.1 </v>
      </c>
      <c r="B37" t="str">
        <f>IF(ISNUMBER(FIND("[PASSED]",C37,1)),"PASSED","FAILED")</f>
        <v>PASSED</v>
      </c>
      <c r="C37" s="19" t="s">
        <v>94</v>
      </c>
      <c r="D37" s="6"/>
      <c r="G37" s="13">
        <v>4</v>
      </c>
      <c r="H37" s="13">
        <v>6</v>
      </c>
      <c r="I37" s="13">
        <v>18</v>
      </c>
      <c r="J37" s="13">
        <v>1</v>
      </c>
    </row>
    <row r="38" spans="1:10" ht="15" hidden="1" customHeight="1" x14ac:dyDescent="0.35">
      <c r="A38" s="6" t="str">
        <f>MID(C38,2,FIND(")",C38,1)-5)</f>
        <v xml:space="preserve">4.6.18.2 </v>
      </c>
      <c r="B38" t="str">
        <f>IF(ISNUMBER(FIND("[PASSED]",C38,1)),"PASSED","FAILED")</f>
        <v>PASSED</v>
      </c>
      <c r="C38" s="19" t="s">
        <v>230</v>
      </c>
      <c r="D38" s="6"/>
      <c r="G38" s="13">
        <v>4</v>
      </c>
      <c r="H38" s="13">
        <v>6</v>
      </c>
      <c r="I38" s="13">
        <v>18</v>
      </c>
      <c r="J38" s="13">
        <v>2</v>
      </c>
    </row>
    <row r="39" spans="1:10" ht="15" hidden="1" customHeight="1" x14ac:dyDescent="0.35">
      <c r="A39" s="6" t="str">
        <f>MID(C39,2,FIND(")",C39,1)-5)</f>
        <v xml:space="preserve">4.7.1 </v>
      </c>
      <c r="B39" t="str">
        <f>IF(ISNUMBER(FIND("[PASSED]",C39,1)),"PASSED","FAILED")</f>
        <v>PASSED</v>
      </c>
      <c r="C39" s="19" t="s">
        <v>77</v>
      </c>
      <c r="G39" s="13">
        <v>4</v>
      </c>
      <c r="H39" s="13">
        <v>7</v>
      </c>
      <c r="I39" s="13">
        <v>1</v>
      </c>
    </row>
    <row r="40" spans="1:10" ht="15" hidden="1" customHeight="1" x14ac:dyDescent="0.35">
      <c r="A40" s="6" t="str">
        <f>MID(C40,2,FIND(")",C40,1)-5)</f>
        <v xml:space="preserve">4.7.2 </v>
      </c>
      <c r="B40" t="str">
        <f>IF(ISNUMBER(FIND("[PASSED]",C40,1)),"PASSED","FAILED")</f>
        <v>PASSED</v>
      </c>
      <c r="C40" s="19" t="s">
        <v>306</v>
      </c>
      <c r="D40" s="6"/>
      <c r="G40" s="13">
        <v>4</v>
      </c>
      <c r="H40" s="13">
        <v>7</v>
      </c>
      <c r="I40" s="13">
        <v>2</v>
      </c>
    </row>
    <row r="41" spans="1:10" ht="15" hidden="1" customHeight="1" x14ac:dyDescent="0.35">
      <c r="A41" s="6" t="str">
        <f>MID(C41,2,FIND(")",C41,1)-5)</f>
        <v xml:space="preserve">4.7.3 </v>
      </c>
      <c r="B41" t="str">
        <f>IF(ISNUMBER(FIND("[PASSED]",C41,1)),"PASSED","FAILED")</f>
        <v>PASSED</v>
      </c>
      <c r="C41" s="19" t="s">
        <v>236</v>
      </c>
      <c r="D41" s="6"/>
      <c r="G41" s="13">
        <v>4</v>
      </c>
      <c r="H41" s="13">
        <v>7</v>
      </c>
      <c r="I41" s="13">
        <v>3</v>
      </c>
    </row>
    <row r="42" spans="1:10" ht="15" hidden="1" customHeight="1" x14ac:dyDescent="0.35">
      <c r="A42" s="6" t="str">
        <f>MID(C42,2,FIND(")",C42,1)-5)</f>
        <v xml:space="preserve">4.7.4 </v>
      </c>
      <c r="B42" t="str">
        <f>IF(ISNUMBER(FIND("[PASSED]",C42,1)),"PASSED","FAILED")</f>
        <v>PASSED</v>
      </c>
      <c r="C42" s="19" t="s">
        <v>335</v>
      </c>
      <c r="G42" s="13">
        <v>4</v>
      </c>
      <c r="H42" s="13">
        <v>7</v>
      </c>
      <c r="I42" s="13">
        <v>4</v>
      </c>
    </row>
    <row r="43" spans="1:10" ht="15" hidden="1" customHeight="1" x14ac:dyDescent="0.35">
      <c r="A43" s="6" t="str">
        <f>MID(C43,2,FIND(")",C43,1)-5)</f>
        <v xml:space="preserve">4.7.5 </v>
      </c>
      <c r="B43" t="str">
        <f>IF(ISNUMBER(FIND("[PASSED]",C43,1)),"PASSED","FAILED")</f>
        <v>PASSED</v>
      </c>
      <c r="C43" s="19" t="s">
        <v>292</v>
      </c>
      <c r="D43" s="6"/>
      <c r="G43" s="13">
        <v>4</v>
      </c>
      <c r="H43" s="13">
        <v>7</v>
      </c>
      <c r="I43" s="13">
        <v>5</v>
      </c>
    </row>
    <row r="44" spans="1:10" ht="15" hidden="1" customHeight="1" x14ac:dyDescent="0.35">
      <c r="A44" s="6" t="str">
        <f>MID(C44,2,FIND(")",C44,1)-5)</f>
        <v xml:space="preserve">4.7.6 </v>
      </c>
      <c r="B44" t="str">
        <f>IF(ISNUMBER(FIND("[PASSED]",C44,1)),"PASSED","FAILED")</f>
        <v>PASSED</v>
      </c>
      <c r="C44" s="19" t="s">
        <v>145</v>
      </c>
      <c r="D44" s="6"/>
      <c r="G44" s="13">
        <v>4</v>
      </c>
      <c r="H44" s="13">
        <v>7</v>
      </c>
      <c r="I44" s="13">
        <v>6</v>
      </c>
    </row>
    <row r="45" spans="1:10" ht="15" hidden="1" customHeight="1" x14ac:dyDescent="0.35">
      <c r="A45" s="6" t="str">
        <f>MID(C45,2,FIND(")",C45,1)-5)</f>
        <v xml:space="preserve">4.7.7 </v>
      </c>
      <c r="B45" t="str">
        <f>IF(ISNUMBER(FIND("[PASSED]",C45,1)),"PASSED","FAILED")</f>
        <v>PASSED</v>
      </c>
      <c r="C45" s="19" t="s">
        <v>124</v>
      </c>
      <c r="D45" s="6"/>
      <c r="G45" s="13">
        <v>4</v>
      </c>
      <c r="H45" s="13">
        <v>7</v>
      </c>
      <c r="I45" s="13">
        <v>7</v>
      </c>
    </row>
    <row r="46" spans="1:10" ht="15" hidden="1" customHeight="1" x14ac:dyDescent="0.35">
      <c r="A46" s="6" t="str">
        <f>MID(C46,2,FIND(")",C46,1)-5)</f>
        <v xml:space="preserve">4.7.8 </v>
      </c>
      <c r="B46" t="str">
        <f>IF(ISNUMBER(FIND("[PASSED]",C46,1)),"PASSED","FAILED")</f>
        <v>PASSED</v>
      </c>
      <c r="C46" s="19" t="s">
        <v>247</v>
      </c>
      <c r="D46" s="6"/>
      <c r="G46" s="13">
        <v>4</v>
      </c>
      <c r="H46" s="13">
        <v>7</v>
      </c>
      <c r="I46" s="13">
        <v>8</v>
      </c>
    </row>
    <row r="47" spans="1:10" ht="15" hidden="1" customHeight="1" x14ac:dyDescent="0.35">
      <c r="A47" s="6" t="str">
        <f>MID(C47,2,FIND(")",C47,1)-5)</f>
        <v xml:space="preserve">4.7.9 </v>
      </c>
      <c r="B47" t="str">
        <f>IF(ISNUMBER(FIND("[PASSED]",C47,1)),"PASSED","FAILED")</f>
        <v>PASSED</v>
      </c>
      <c r="C47" s="19" t="s">
        <v>43</v>
      </c>
      <c r="D47" s="6"/>
      <c r="G47" s="13">
        <v>4</v>
      </c>
      <c r="H47" s="13">
        <v>7</v>
      </c>
      <c r="I47" s="13">
        <v>9</v>
      </c>
    </row>
    <row r="48" spans="1:10" ht="15" hidden="1" customHeight="1" x14ac:dyDescent="0.35">
      <c r="A48" s="6" t="str">
        <f>MID(C48,2,FIND(")",C48,1)-5)</f>
        <v xml:space="preserve">4.7.10 </v>
      </c>
      <c r="B48" t="str">
        <f>IF(ISNUMBER(FIND("[PASSED]",C48,1)),"PASSED","FAILED")</f>
        <v>PASSED</v>
      </c>
      <c r="C48" s="19" t="s">
        <v>291</v>
      </c>
      <c r="D48" s="6"/>
      <c r="G48" s="13">
        <v>4</v>
      </c>
      <c r="H48" s="13">
        <v>7</v>
      </c>
      <c r="I48" s="13">
        <v>10</v>
      </c>
    </row>
    <row r="49" spans="1:11" ht="15" hidden="1" customHeight="1" x14ac:dyDescent="0.35">
      <c r="A49" s="6" t="str">
        <f>MID(C49,2,FIND(")",C49,1)-5)</f>
        <v xml:space="preserve">4.7.11 </v>
      </c>
      <c r="B49" t="str">
        <f>IF(ISNUMBER(FIND("[PASSED]",C49,1)),"PASSED","FAILED")</f>
        <v>PASSED</v>
      </c>
      <c r="C49" s="19" t="s">
        <v>319</v>
      </c>
      <c r="D49" s="6"/>
      <c r="G49" s="13">
        <v>4</v>
      </c>
      <c r="H49" s="13">
        <v>7</v>
      </c>
      <c r="I49" s="13">
        <v>11</v>
      </c>
    </row>
    <row r="50" spans="1:11" ht="15" hidden="1" customHeight="1" x14ac:dyDescent="0.35">
      <c r="A50" s="6" t="str">
        <f>MID(C50,2,FIND(")",C50,1)-5)</f>
        <v xml:space="preserve">4.9.1.1 </v>
      </c>
      <c r="B50" t="str">
        <f>IF(ISNUMBER(FIND("[PASSED]",C50,1)),"PASSED","FAILED")</f>
        <v>PASSED</v>
      </c>
      <c r="C50" s="19" t="s">
        <v>181</v>
      </c>
      <c r="D50" s="6"/>
      <c r="G50" s="13">
        <v>4</v>
      </c>
      <c r="H50" s="13">
        <v>9</v>
      </c>
      <c r="I50" s="13">
        <v>1</v>
      </c>
      <c r="J50" s="13">
        <v>1</v>
      </c>
    </row>
    <row r="51" spans="1:11" ht="15" hidden="1" customHeight="1" x14ac:dyDescent="0.35">
      <c r="A51" s="6" t="str">
        <f>MID(C51,2,FIND(")",C51,1)-5)</f>
        <v xml:space="preserve">4.10.4.1 </v>
      </c>
      <c r="B51" t="str">
        <f>IF(ISNUMBER(FIND("[PASSED]",C51,1)),"PASSED","FAILED")</f>
        <v>PASSED</v>
      </c>
      <c r="C51" s="19" t="s">
        <v>202</v>
      </c>
      <c r="D51" s="6"/>
      <c r="G51" s="13">
        <v>4</v>
      </c>
      <c r="H51" s="13">
        <v>10</v>
      </c>
      <c r="I51" s="13">
        <v>4</v>
      </c>
      <c r="J51" s="13">
        <v>1</v>
      </c>
    </row>
    <row r="52" spans="1:11" ht="15" hidden="1" customHeight="1" x14ac:dyDescent="0.35">
      <c r="A52" s="6" t="str">
        <f>MID(C52,2,FIND(")",C52,1)-5)</f>
        <v xml:space="preserve">4.10.5.1 </v>
      </c>
      <c r="B52" t="str">
        <f>IF(ISNUMBER(FIND("[PASSED]",C52,1)),"PASSED","FAILED")</f>
        <v>PASSED</v>
      </c>
      <c r="C52" s="19" t="s">
        <v>17</v>
      </c>
      <c r="D52" s="6"/>
      <c r="G52" s="13">
        <v>4</v>
      </c>
      <c r="H52" s="13">
        <v>10</v>
      </c>
      <c r="I52" s="13">
        <v>5</v>
      </c>
      <c r="J52" s="13">
        <v>1</v>
      </c>
    </row>
    <row r="53" spans="1:11" ht="15" hidden="1" customHeight="1" x14ac:dyDescent="0.35">
      <c r="A53" s="6" t="str">
        <f>MID(C53,2,FIND(")",C53,1)-5)</f>
        <v xml:space="preserve">4.10.5.2 </v>
      </c>
      <c r="B53" t="str">
        <f>IF(ISNUMBER(FIND("[PASSED]",C53,1)),"PASSED","FAILED")</f>
        <v>PASSED</v>
      </c>
      <c r="C53" s="19" t="s">
        <v>304</v>
      </c>
      <c r="D53" s="6"/>
      <c r="G53" s="13">
        <v>4</v>
      </c>
      <c r="H53" s="13">
        <v>10</v>
      </c>
      <c r="I53" s="13">
        <v>5</v>
      </c>
      <c r="J53" s="13">
        <v>2</v>
      </c>
    </row>
    <row r="54" spans="1:11" ht="15" customHeight="1" x14ac:dyDescent="0.35">
      <c r="A54" s="6" t="str">
        <f>MID(C54,2,FIND(")",C54,1)-5)</f>
        <v xml:space="preserve">4.10.9.1.1 </v>
      </c>
      <c r="B54" t="str">
        <f>IF(ISNUMBER(FIND("[PASSED]",C54,1)),"PASSED","FAILED")</f>
        <v>FAILED</v>
      </c>
      <c r="C54" s="19" t="s">
        <v>423</v>
      </c>
      <c r="D54" s="18" t="s">
        <v>492</v>
      </c>
      <c r="F54" s="6" t="s">
        <v>474</v>
      </c>
      <c r="G54" s="13">
        <v>4</v>
      </c>
      <c r="H54" s="13">
        <v>10</v>
      </c>
      <c r="I54" s="13">
        <v>9</v>
      </c>
      <c r="J54" s="13">
        <v>1</v>
      </c>
      <c r="K54" s="13">
        <v>1</v>
      </c>
    </row>
    <row r="55" spans="1:11" ht="15" customHeight="1" x14ac:dyDescent="0.35">
      <c r="A55" s="6" t="str">
        <f>MID(C55,2,FIND(")",C55,1)-5)</f>
        <v xml:space="preserve">4.10.9.1.2 </v>
      </c>
      <c r="B55" t="str">
        <f>IF(ISNUMBER(FIND("[PASSED]",C55,1)),"PASSED","FAILED")</f>
        <v>FAILED</v>
      </c>
      <c r="C55" s="19" t="s">
        <v>436</v>
      </c>
      <c r="D55" s="18" t="s">
        <v>492</v>
      </c>
      <c r="F55" s="6" t="s">
        <v>474</v>
      </c>
      <c r="G55" s="13">
        <v>4</v>
      </c>
      <c r="H55" s="13">
        <v>10</v>
      </c>
      <c r="I55" s="13">
        <v>9</v>
      </c>
      <c r="J55" s="13">
        <v>1</v>
      </c>
      <c r="K55" s="13">
        <v>2</v>
      </c>
    </row>
    <row r="56" spans="1:11" ht="15" customHeight="1" x14ac:dyDescent="0.35">
      <c r="A56" s="6" t="str">
        <f>MID(C56,2,FIND(")",C56,1)-5)</f>
        <v xml:space="preserve">4.10.9.1.3 </v>
      </c>
      <c r="B56" t="str">
        <f>IF(ISNUMBER(FIND("[PASSED]",C56,1)),"PASSED","FAILED")</f>
        <v>FAILED</v>
      </c>
      <c r="C56" s="19" t="s">
        <v>348</v>
      </c>
      <c r="D56" s="18" t="s">
        <v>492</v>
      </c>
      <c r="F56" s="6" t="s">
        <v>474</v>
      </c>
      <c r="G56" s="13">
        <v>4</v>
      </c>
      <c r="H56" s="13">
        <v>10</v>
      </c>
      <c r="I56" s="13">
        <v>9</v>
      </c>
      <c r="J56" s="13">
        <v>1</v>
      </c>
      <c r="K56" s="13">
        <v>3</v>
      </c>
    </row>
    <row r="57" spans="1:11" ht="15" hidden="1" customHeight="1" x14ac:dyDescent="0.35">
      <c r="A57" s="6" t="str">
        <f>MID(C57,2,FIND(")",C57,1)-5)</f>
        <v xml:space="preserve">4.10.9.2 </v>
      </c>
      <c r="B57" t="str">
        <f>IF(ISNUMBER(FIND("[PASSED]",C57,1)),"PASSED","FAILED")</f>
        <v>PASSED</v>
      </c>
      <c r="C57" s="19" t="s">
        <v>286</v>
      </c>
      <c r="D57" s="6"/>
      <c r="G57" s="13">
        <v>4</v>
      </c>
      <c r="H57" s="13">
        <v>10</v>
      </c>
      <c r="I57" s="13">
        <v>9</v>
      </c>
      <c r="J57" s="13">
        <v>2</v>
      </c>
    </row>
    <row r="58" spans="1:11" ht="15" hidden="1" customHeight="1" x14ac:dyDescent="0.35">
      <c r="A58" s="6" t="str">
        <f>MID(C58,2,FIND(")",C58,1)-5)</f>
        <v xml:space="preserve">4.10.13.1 </v>
      </c>
      <c r="B58" t="str">
        <f>IF(ISNUMBER(FIND("[PASSED]",C58,1)),"PASSED","FAILED")</f>
        <v>PASSED</v>
      </c>
      <c r="C58" s="19" t="s">
        <v>250</v>
      </c>
      <c r="D58" s="6"/>
      <c r="G58" s="13">
        <v>4</v>
      </c>
      <c r="H58" s="13">
        <v>10</v>
      </c>
      <c r="I58" s="13">
        <v>13</v>
      </c>
      <c r="J58" s="13">
        <v>1</v>
      </c>
    </row>
    <row r="59" spans="1:11" ht="15" hidden="1" customHeight="1" x14ac:dyDescent="0.35">
      <c r="A59" s="6" t="str">
        <f>MID(C59,2,FIND(")",C59,1)-5)</f>
        <v xml:space="preserve">4.10.19.1 </v>
      </c>
      <c r="B59" t="str">
        <f>IF(ISNUMBER(FIND("[PASSED]",C59,1)),"PASSED","FAILED")</f>
        <v>PASSED</v>
      </c>
      <c r="C59" s="19" t="s">
        <v>92</v>
      </c>
      <c r="D59" s="6"/>
      <c r="G59" s="13">
        <v>4</v>
      </c>
      <c r="H59" s="13">
        <v>10</v>
      </c>
      <c r="I59" s="13">
        <v>19</v>
      </c>
      <c r="J59" s="13">
        <v>1</v>
      </c>
    </row>
    <row r="60" spans="1:11" ht="15" hidden="1" customHeight="1" x14ac:dyDescent="0.35">
      <c r="A60" s="6" t="str">
        <f>MID(C60,2,FIND(")",C60,1)-5)</f>
        <v xml:space="preserve">4.10.19.2 </v>
      </c>
      <c r="B60" t="str">
        <f>IF(ISNUMBER(FIND("[PASSED]",C60,1)),"PASSED","FAILED")</f>
        <v>PASSED</v>
      </c>
      <c r="C60" s="19" t="s">
        <v>18</v>
      </c>
      <c r="D60" s="6"/>
      <c r="G60" s="13">
        <v>4</v>
      </c>
      <c r="H60" s="13">
        <v>10</v>
      </c>
      <c r="I60" s="13">
        <v>19</v>
      </c>
      <c r="J60" s="13">
        <v>2</v>
      </c>
    </row>
    <row r="61" spans="1:11" ht="15" hidden="1" customHeight="1" x14ac:dyDescent="0.35">
      <c r="A61" s="6" t="str">
        <f>MID(C61,2,FIND(")",C61,1)-5)</f>
        <v xml:space="preserve">4.10.20.1.1 </v>
      </c>
      <c r="B61" t="str">
        <f>IF(ISNUMBER(FIND("[PASSED]",C61,1)),"PASSED","FAILED")</f>
        <v>PASSED</v>
      </c>
      <c r="C61" s="19" t="s">
        <v>418</v>
      </c>
      <c r="D61" s="6"/>
      <c r="G61" s="13">
        <v>4</v>
      </c>
      <c r="H61" s="13">
        <v>10</v>
      </c>
      <c r="I61" s="13">
        <v>20</v>
      </c>
      <c r="J61" s="13">
        <v>1</v>
      </c>
      <c r="K61" s="13">
        <v>1</v>
      </c>
    </row>
    <row r="62" spans="1:11" ht="15" hidden="1" customHeight="1" x14ac:dyDescent="0.35">
      <c r="A62" s="6" t="str">
        <f>MID(C62,2,FIND(")",C62,1)-5)</f>
        <v xml:space="preserve">4.10.20.1.2 </v>
      </c>
      <c r="B62" t="str">
        <f>IF(ISNUMBER(FIND("[PASSED]",C62,1)),"PASSED","FAILED")</f>
        <v>PASSED</v>
      </c>
      <c r="C62" s="19" t="s">
        <v>259</v>
      </c>
      <c r="D62" s="6"/>
      <c r="G62" s="13">
        <v>4</v>
      </c>
      <c r="H62" s="13">
        <v>10</v>
      </c>
      <c r="I62" s="13">
        <v>20</v>
      </c>
      <c r="J62" s="13">
        <v>1</v>
      </c>
      <c r="K62" s="13">
        <v>2</v>
      </c>
    </row>
    <row r="63" spans="1:11" ht="15" hidden="1" customHeight="1" x14ac:dyDescent="0.35">
      <c r="A63" s="6" t="str">
        <f>MID(C63,2,FIND(")",C63,1)-5)</f>
        <v xml:space="preserve">4.10.20.1.3 </v>
      </c>
      <c r="B63" t="str">
        <f>IF(ISNUMBER(FIND("[PASSED]",C63,1)),"PASSED","FAILED")</f>
        <v>PASSED</v>
      </c>
      <c r="C63" s="19" t="s">
        <v>445</v>
      </c>
      <c r="D63" s="6"/>
      <c r="G63" s="13">
        <v>4</v>
      </c>
      <c r="H63" s="13">
        <v>10</v>
      </c>
      <c r="I63" s="13">
        <v>20</v>
      </c>
      <c r="J63" s="13">
        <v>1</v>
      </c>
      <c r="K63" s="13">
        <v>3</v>
      </c>
    </row>
    <row r="64" spans="1:11" ht="15" hidden="1" customHeight="1" x14ac:dyDescent="0.35">
      <c r="A64" s="6" t="str">
        <f>MID(C64,2,FIND(")",C64,1)-5)</f>
        <v xml:space="preserve">4.10.20.1.4 </v>
      </c>
      <c r="B64" t="str">
        <f>IF(ISNUMBER(FIND("[PASSED]",C64,1)),"PASSED","FAILED")</f>
        <v>PASSED</v>
      </c>
      <c r="C64" s="19" t="s">
        <v>375</v>
      </c>
      <c r="G64" s="13">
        <v>4</v>
      </c>
      <c r="H64" s="13">
        <v>10</v>
      </c>
      <c r="I64" s="13">
        <v>20</v>
      </c>
      <c r="J64" s="13">
        <v>1</v>
      </c>
      <c r="K64" s="13">
        <v>4</v>
      </c>
    </row>
    <row r="65" spans="1:11" ht="15" hidden="1" customHeight="1" x14ac:dyDescent="0.35">
      <c r="A65" s="6" t="str">
        <f>MID(C65,2,FIND(")",C65,1)-5)</f>
        <v xml:space="preserve">4.10.20.1.5 </v>
      </c>
      <c r="B65" t="str">
        <f>IF(ISNUMBER(FIND("[PASSED]",C65,1)),"PASSED","FAILED")</f>
        <v>PASSED</v>
      </c>
      <c r="C65" s="19" t="s">
        <v>66</v>
      </c>
      <c r="D65" s="6"/>
      <c r="G65" s="13">
        <v>4</v>
      </c>
      <c r="H65" s="13">
        <v>10</v>
      </c>
      <c r="I65" s="13">
        <v>20</v>
      </c>
      <c r="J65" s="13">
        <v>1</v>
      </c>
      <c r="K65" s="13">
        <v>5</v>
      </c>
    </row>
    <row r="66" spans="1:11" ht="15" customHeight="1" x14ac:dyDescent="0.35">
      <c r="A66" s="6" t="str">
        <f>MID(C66,2,FIND(")",C66,1)-5)</f>
        <v xml:space="preserve">4.10.20.1.6 </v>
      </c>
      <c r="B66" t="str">
        <f>IF(ISNUMBER(FIND("[PASSED]",C66,1)),"PASSED","FAILED")</f>
        <v>FAILED</v>
      </c>
      <c r="C66" s="19" t="s">
        <v>362</v>
      </c>
      <c r="D66" s="13" t="s">
        <v>467</v>
      </c>
      <c r="E66" s="6" t="s">
        <v>330</v>
      </c>
      <c r="F66" s="6" t="s">
        <v>474</v>
      </c>
      <c r="G66" s="13">
        <v>4</v>
      </c>
      <c r="H66" s="13">
        <v>10</v>
      </c>
      <c r="I66" s="13">
        <v>20</v>
      </c>
      <c r="J66" s="13">
        <v>1</v>
      </c>
      <c r="K66" s="13">
        <v>6</v>
      </c>
    </row>
    <row r="67" spans="1:11" ht="15" hidden="1" customHeight="1" x14ac:dyDescent="0.35">
      <c r="A67" s="6" t="str">
        <f>MID(C67,2,FIND(")",C67,1)-5)</f>
        <v xml:space="preserve">4.10.20.1.7 </v>
      </c>
      <c r="B67" t="str">
        <f>IF(ISNUMBER(FIND("[PASSED]",C67,1)),"PASSED","FAILED")</f>
        <v>PASSED</v>
      </c>
      <c r="C67" s="19" t="s">
        <v>357</v>
      </c>
      <c r="D67" s="6"/>
      <c r="G67" s="13">
        <v>4</v>
      </c>
      <c r="H67" s="13">
        <v>10</v>
      </c>
      <c r="I67" s="13">
        <v>20</v>
      </c>
      <c r="J67" s="13">
        <v>1</v>
      </c>
      <c r="K67" s="13">
        <v>7</v>
      </c>
    </row>
    <row r="68" spans="1:11" ht="15" hidden="1" customHeight="1" x14ac:dyDescent="0.35">
      <c r="A68" s="6" t="str">
        <f>MID(C68,2,FIND(")",C68,1)-5)</f>
        <v xml:space="preserve">4.10.20.1.8 </v>
      </c>
      <c r="B68" t="str">
        <f>IF(ISNUMBER(FIND("[PASSED]",C68,1)),"PASSED","FAILED")</f>
        <v>PASSED</v>
      </c>
      <c r="C68" s="19" t="s">
        <v>358</v>
      </c>
      <c r="D68" s="6"/>
      <c r="G68" s="13">
        <v>4</v>
      </c>
      <c r="H68" s="13">
        <v>10</v>
      </c>
      <c r="I68" s="13">
        <v>20</v>
      </c>
      <c r="J68" s="13">
        <v>1</v>
      </c>
      <c r="K68" s="13">
        <v>8</v>
      </c>
    </row>
    <row r="69" spans="1:11" ht="15" hidden="1" customHeight="1" x14ac:dyDescent="0.35">
      <c r="A69" s="6" t="str">
        <f>MID(C69,2,FIND(")",C69,1)-5)</f>
        <v xml:space="preserve">4.10.20.1.9 </v>
      </c>
      <c r="B69" t="str">
        <f>IF(ISNUMBER(FIND("[PASSED]",C69,1)),"PASSED","FAILED")</f>
        <v>PASSED</v>
      </c>
      <c r="C69" s="19" t="s">
        <v>380</v>
      </c>
      <c r="D69" s="6"/>
      <c r="G69" s="13">
        <v>4</v>
      </c>
      <c r="H69" s="13">
        <v>10</v>
      </c>
      <c r="I69" s="13">
        <v>20</v>
      </c>
      <c r="J69" s="13">
        <v>1</v>
      </c>
      <c r="K69" s="13">
        <v>9</v>
      </c>
    </row>
    <row r="70" spans="1:11" ht="15" hidden="1" customHeight="1" x14ac:dyDescent="0.35">
      <c r="A70" s="6" t="str">
        <f>MID(C70,2,FIND(")",C70,1)-5)</f>
        <v xml:space="preserve">4.10.20.1.10 </v>
      </c>
      <c r="B70" t="str">
        <f>IF(ISNUMBER(FIND("[PASSED]",C70,1)),"PASSED","FAILED")</f>
        <v>PASSED</v>
      </c>
      <c r="C70" s="19" t="s">
        <v>392</v>
      </c>
      <c r="D70" s="6"/>
      <c r="G70" s="13">
        <v>4</v>
      </c>
      <c r="H70" s="13">
        <v>10</v>
      </c>
      <c r="I70" s="13">
        <v>20</v>
      </c>
      <c r="J70" s="13">
        <v>1</v>
      </c>
      <c r="K70" s="13">
        <v>10</v>
      </c>
    </row>
    <row r="71" spans="1:11" ht="15" hidden="1" customHeight="1" x14ac:dyDescent="0.35">
      <c r="A71" s="6" t="str">
        <f>MID(C71,2,FIND(")",C71,1)-5)</f>
        <v xml:space="preserve">4.10.20.1.11 </v>
      </c>
      <c r="B71" t="str">
        <f>IF(ISNUMBER(FIND("[PASSED]",C71,1)),"PASSED","FAILED")</f>
        <v>PASSED</v>
      </c>
      <c r="C71" s="19" t="s">
        <v>456</v>
      </c>
      <c r="D71" s="6"/>
      <c r="G71" s="13">
        <v>4</v>
      </c>
      <c r="H71" s="13">
        <v>10</v>
      </c>
      <c r="I71" s="13">
        <v>20</v>
      </c>
      <c r="J71" s="13">
        <v>1</v>
      </c>
      <c r="K71" s="13">
        <v>11</v>
      </c>
    </row>
    <row r="72" spans="1:11" ht="15" hidden="1" customHeight="1" x14ac:dyDescent="0.35">
      <c r="A72" s="6" t="str">
        <f>MID(C72,2,FIND(")",C72,1)-5)</f>
        <v xml:space="preserve">4.10.20.1.12 </v>
      </c>
      <c r="B72" t="str">
        <f>IF(ISNUMBER(FIND("[PASSED]",C72,1)),"PASSED","FAILED")</f>
        <v>PASSED</v>
      </c>
      <c r="C72" s="19" t="s">
        <v>458</v>
      </c>
      <c r="D72" s="6"/>
      <c r="G72" s="13">
        <v>4</v>
      </c>
      <c r="H72" s="13">
        <v>10</v>
      </c>
      <c r="I72" s="13">
        <v>20</v>
      </c>
      <c r="J72" s="13">
        <v>1</v>
      </c>
      <c r="K72" s="13">
        <v>12</v>
      </c>
    </row>
    <row r="73" spans="1:11" ht="15" hidden="1" customHeight="1" x14ac:dyDescent="0.35">
      <c r="A73" s="6" t="str">
        <f>MID(C73,2,FIND(")",C73,1)-5)</f>
        <v xml:space="preserve">4.10.20.1.13 </v>
      </c>
      <c r="B73" t="str">
        <f>IF(ISNUMBER(FIND("[PASSED]",C73,1)),"PASSED","FAILED")</f>
        <v>PASSED</v>
      </c>
      <c r="C73" s="19" t="s">
        <v>495</v>
      </c>
      <c r="D73" s="6"/>
      <c r="G73" s="13">
        <v>4</v>
      </c>
      <c r="H73" s="13">
        <v>10</v>
      </c>
      <c r="I73" s="13">
        <v>20</v>
      </c>
      <c r="J73" s="13">
        <v>1</v>
      </c>
      <c r="K73" s="13">
        <v>13</v>
      </c>
    </row>
    <row r="74" spans="1:11" ht="15" hidden="1" customHeight="1" x14ac:dyDescent="0.35">
      <c r="A74" s="6" t="str">
        <f>MID(C74,2,FIND(")",C74,1)-5)</f>
        <v xml:space="preserve">4.10.23.1 </v>
      </c>
      <c r="B74" t="str">
        <f>IF(ISNUMBER(FIND("[PASSED]",C74,1)),"PASSED","FAILED")</f>
        <v>PASSED</v>
      </c>
      <c r="C74" s="19" t="s">
        <v>496</v>
      </c>
      <c r="G74" s="13">
        <v>4</v>
      </c>
      <c r="H74" s="13">
        <v>10</v>
      </c>
      <c r="I74" s="13">
        <v>23</v>
      </c>
      <c r="J74" s="13">
        <v>1</v>
      </c>
    </row>
    <row r="75" spans="1:11" ht="15" hidden="1" customHeight="1" x14ac:dyDescent="0.35">
      <c r="A75" s="6" t="str">
        <f>MID(C75,2,FIND(")",C75,1)-5)</f>
        <v xml:space="preserve">4.10.25.1 </v>
      </c>
      <c r="B75" t="str">
        <f>IF(ISNUMBER(FIND("[PASSED]",C75,1)),"PASSED","FAILED")</f>
        <v>PASSED</v>
      </c>
      <c r="C75" s="19" t="s">
        <v>439</v>
      </c>
      <c r="G75" s="13">
        <v>4</v>
      </c>
      <c r="H75" s="13">
        <v>10</v>
      </c>
      <c r="I75" s="13">
        <v>25</v>
      </c>
      <c r="J75" s="13">
        <v>1</v>
      </c>
    </row>
    <row r="76" spans="1:11" ht="15" hidden="1" customHeight="1" x14ac:dyDescent="0.35">
      <c r="A76" s="6" t="str">
        <f>MID(C76,2,FIND(")",C76,1)-5)</f>
        <v xml:space="preserve">4.10.26.1 </v>
      </c>
      <c r="B76" t="str">
        <f>IF(ISNUMBER(FIND("[PASSED]",C76,1)),"PASSED","FAILED")</f>
        <v>PASSED</v>
      </c>
      <c r="C76" s="19" t="s">
        <v>125</v>
      </c>
      <c r="D76" s="6"/>
      <c r="G76" s="13">
        <v>4</v>
      </c>
      <c r="H76" s="13">
        <v>10</v>
      </c>
      <c r="I76" s="13">
        <v>26</v>
      </c>
      <c r="J76" s="13">
        <v>1</v>
      </c>
    </row>
    <row r="77" spans="1:11" ht="15" hidden="1" customHeight="1" x14ac:dyDescent="0.35">
      <c r="A77" s="6" t="str">
        <f>MID(C77,2,FIND(")",C77,1)-5)</f>
        <v xml:space="preserve">4.10.26.2 </v>
      </c>
      <c r="B77" t="str">
        <f>IF(ISNUMBER(FIND("[PASSED]",C77,1)),"PASSED","FAILED")</f>
        <v>PASSED</v>
      </c>
      <c r="C77" s="19" t="s">
        <v>235</v>
      </c>
      <c r="D77" s="6"/>
      <c r="G77" s="13">
        <v>4</v>
      </c>
      <c r="H77" s="13">
        <v>10</v>
      </c>
      <c r="I77" s="13">
        <v>26</v>
      </c>
      <c r="J77" s="13">
        <v>2</v>
      </c>
    </row>
    <row r="78" spans="1:11" ht="15" hidden="1" customHeight="1" x14ac:dyDescent="0.35">
      <c r="A78" s="6" t="str">
        <f>MID(C78,2,FIND(")",C78,1)-5)</f>
        <v xml:space="preserve">4.10.26.3 </v>
      </c>
      <c r="B78" t="str">
        <f>IF(ISNUMBER(FIND("[PASSED]",C78,1)),"PASSED","FAILED")</f>
        <v>PASSED</v>
      </c>
      <c r="C78" s="19" t="s">
        <v>270</v>
      </c>
      <c r="D78" s="6"/>
      <c r="G78" s="13">
        <v>4</v>
      </c>
      <c r="H78" s="13">
        <v>10</v>
      </c>
      <c r="I78" s="13">
        <v>26</v>
      </c>
      <c r="J78" s="13">
        <v>3</v>
      </c>
    </row>
    <row r="79" spans="1:11" ht="15" hidden="1" customHeight="1" x14ac:dyDescent="0.35">
      <c r="A79" s="6" t="str">
        <f>MID(C79,2,FIND(")",C79,1)-5)</f>
        <v xml:space="preserve">4.10.26.4 </v>
      </c>
      <c r="B79" t="str">
        <f>IF(ISNUMBER(FIND("[PASSED]",C79,1)),"PASSED","FAILED")</f>
        <v>PASSED</v>
      </c>
      <c r="C79" s="19" t="s">
        <v>104</v>
      </c>
      <c r="D79" s="18"/>
      <c r="G79" s="13">
        <v>4</v>
      </c>
      <c r="H79" s="13">
        <v>10</v>
      </c>
      <c r="I79" s="13">
        <v>26</v>
      </c>
      <c r="J79" s="13">
        <v>4</v>
      </c>
    </row>
    <row r="80" spans="1:11" ht="15" hidden="1" customHeight="1" x14ac:dyDescent="0.35">
      <c r="A80" s="6" t="str">
        <f>MID(C80,2,FIND(")",C80,1)-5)</f>
        <v xml:space="preserve">4.10.26.5 </v>
      </c>
      <c r="B80" t="str">
        <f>IF(ISNUMBER(FIND("[PASSED]",C80,1)),"PASSED","FAILED")</f>
        <v>PASSED</v>
      </c>
      <c r="C80" s="19" t="s">
        <v>19</v>
      </c>
      <c r="D80" s="6"/>
      <c r="G80" s="13">
        <v>4</v>
      </c>
      <c r="H80" s="13">
        <v>10</v>
      </c>
      <c r="I80" s="13">
        <v>26</v>
      </c>
      <c r="J80" s="13">
        <v>5</v>
      </c>
    </row>
    <row r="81" spans="1:11" ht="15" hidden="1" customHeight="1" x14ac:dyDescent="0.35">
      <c r="A81" s="6" t="str">
        <f>MID(C81,2,FIND(")",C81,1)-5)</f>
        <v xml:space="preserve">4.10.26.6 </v>
      </c>
      <c r="B81" t="str">
        <f>IF(ISNUMBER(FIND("[PASSED]",C81,1)),"PASSED","FAILED")</f>
        <v>PASSED</v>
      </c>
      <c r="C81" s="19" t="s">
        <v>170</v>
      </c>
      <c r="D81" s="6"/>
      <c r="G81" s="13">
        <v>4</v>
      </c>
      <c r="H81" s="13">
        <v>10</v>
      </c>
      <c r="I81" s="13">
        <v>26</v>
      </c>
      <c r="J81" s="13">
        <v>6</v>
      </c>
    </row>
    <row r="82" spans="1:11" ht="15" hidden="1" customHeight="1" x14ac:dyDescent="0.35">
      <c r="A82" s="6" t="str">
        <f>MID(C82,2,FIND(")",C82,1)-5)</f>
        <v xml:space="preserve">4.10.26.7 </v>
      </c>
      <c r="B82" t="str">
        <f>IF(ISNUMBER(FIND("[PASSED]",C82,1)),"PASSED","FAILED")</f>
        <v>PASSED</v>
      </c>
      <c r="C82" s="19" t="s">
        <v>318</v>
      </c>
      <c r="D82" s="6"/>
      <c r="G82" s="13">
        <v>4</v>
      </c>
      <c r="H82" s="13">
        <v>10</v>
      </c>
      <c r="I82" s="13">
        <v>26</v>
      </c>
      <c r="J82" s="13">
        <v>7</v>
      </c>
    </row>
    <row r="83" spans="1:11" ht="15" hidden="1" customHeight="1" x14ac:dyDescent="0.35">
      <c r="A83" s="6" t="str">
        <f>MID(C83,2,FIND(")",C83,1)-5)</f>
        <v xml:space="preserve">4.10.29.5.1 </v>
      </c>
      <c r="B83" t="str">
        <f>IF(ISNUMBER(FIND("[PASSED]",C83,1)),"PASSED","FAILED")</f>
        <v>PASSED</v>
      </c>
      <c r="C83" s="19" t="s">
        <v>154</v>
      </c>
      <c r="D83" s="6"/>
      <c r="G83" s="13">
        <v>4</v>
      </c>
      <c r="H83" s="13">
        <v>10</v>
      </c>
      <c r="I83" s="13">
        <v>29</v>
      </c>
      <c r="J83" s="13">
        <v>5</v>
      </c>
      <c r="K83" s="13">
        <v>1</v>
      </c>
    </row>
    <row r="84" spans="1:11" ht="15" hidden="1" customHeight="1" x14ac:dyDescent="0.35">
      <c r="A84" s="6" t="str">
        <f>MID(C84,2,FIND(")",C84,1)-5)</f>
        <v xml:space="preserve">4.10.29.5.2 </v>
      </c>
      <c r="B84" t="str">
        <f>IF(ISNUMBER(FIND("[PASSED]",C84,1)),"PASSED","FAILED")</f>
        <v>PASSED</v>
      </c>
      <c r="C84" s="19" t="s">
        <v>103</v>
      </c>
      <c r="D84" s="6"/>
      <c r="G84" s="13">
        <v>4</v>
      </c>
      <c r="H84" s="13">
        <v>10</v>
      </c>
      <c r="I84" s="13">
        <v>29</v>
      </c>
      <c r="J84" s="13">
        <v>5</v>
      </c>
      <c r="K84" s="13">
        <v>2</v>
      </c>
    </row>
    <row r="85" spans="1:11" ht="15" hidden="1" customHeight="1" x14ac:dyDescent="0.35">
      <c r="A85" s="6" t="str">
        <f>MID(C85,2,FIND(")",C85,1)-5)</f>
        <v xml:space="preserve">4.10.30.1 </v>
      </c>
      <c r="B85" t="str">
        <f>IF(ISNUMBER(FIND("[PASSED]",C85,1)),"PASSED","FAILED")</f>
        <v>PASSED</v>
      </c>
      <c r="C85" s="19" t="s">
        <v>293</v>
      </c>
      <c r="D85" s="6"/>
      <c r="G85" s="13">
        <v>4</v>
      </c>
      <c r="H85" s="13">
        <v>10</v>
      </c>
      <c r="I85" s="13">
        <v>30</v>
      </c>
      <c r="J85" s="13">
        <v>1</v>
      </c>
    </row>
    <row r="86" spans="1:11" ht="15" hidden="1" customHeight="1" x14ac:dyDescent="0.35">
      <c r="A86" s="6" t="str">
        <f>MID(C86,2,FIND(")",C86,1)-5)</f>
        <v xml:space="preserve">4.10.30.2 </v>
      </c>
      <c r="B86" t="str">
        <f>IF(ISNUMBER(FIND("[PASSED]",C86,1)),"PASSED","FAILED")</f>
        <v>PASSED</v>
      </c>
      <c r="C86" s="19" t="s">
        <v>308</v>
      </c>
      <c r="D86" s="6"/>
      <c r="G86" s="13">
        <v>4</v>
      </c>
      <c r="H86" s="13">
        <v>10</v>
      </c>
      <c r="I86" s="13">
        <v>30</v>
      </c>
      <c r="J86" s="13">
        <v>2</v>
      </c>
    </row>
    <row r="87" spans="1:11" ht="15" hidden="1" customHeight="1" x14ac:dyDescent="0.35">
      <c r="A87" s="6" t="str">
        <f>MID(C87,2,FIND(")",C87,1)-5)</f>
        <v xml:space="preserve">4.10.31.1 </v>
      </c>
      <c r="B87" t="str">
        <f>IF(ISNUMBER(FIND("[PASSED]",C87,1)),"PASSED","FAILED")</f>
        <v>PASSED</v>
      </c>
      <c r="C87" s="19" t="s">
        <v>102</v>
      </c>
      <c r="D87" s="6"/>
      <c r="G87" s="13">
        <v>4</v>
      </c>
      <c r="H87" s="13">
        <v>10</v>
      </c>
      <c r="I87" s="13">
        <v>31</v>
      </c>
      <c r="J87" s="13">
        <v>1</v>
      </c>
    </row>
    <row r="88" spans="1:11" ht="15" hidden="1" customHeight="1" x14ac:dyDescent="0.35">
      <c r="A88" s="6" t="str">
        <f>MID(C88,2,FIND(")",C88,1)-5)</f>
        <v xml:space="preserve">4.10.31.2 </v>
      </c>
      <c r="B88" t="str">
        <f>IF(ISNUMBER(FIND("[PASSED]",C88,1)),"PASSED","FAILED")</f>
        <v>PASSED</v>
      </c>
      <c r="C88" s="19" t="s">
        <v>274</v>
      </c>
      <c r="G88" s="13">
        <v>4</v>
      </c>
      <c r="H88" s="13">
        <v>10</v>
      </c>
      <c r="I88" s="13">
        <v>31</v>
      </c>
      <c r="J88" s="13">
        <v>2</v>
      </c>
    </row>
    <row r="89" spans="1:11" ht="15" hidden="1" customHeight="1" x14ac:dyDescent="0.35">
      <c r="A89" s="6" t="str">
        <f>MID(C89,2,FIND(")",C89,1)-5)</f>
        <v xml:space="preserve">4.10.40.5.1 </v>
      </c>
      <c r="B89" t="str">
        <f>IF(ISNUMBER(FIND("[PASSED]",C89,1)),"PASSED","FAILED")</f>
        <v>PASSED</v>
      </c>
      <c r="C89" s="19" t="s">
        <v>355</v>
      </c>
      <c r="D89" s="6"/>
      <c r="G89" s="13">
        <v>4</v>
      </c>
      <c r="H89" s="13">
        <v>10</v>
      </c>
      <c r="I89" s="13">
        <v>40</v>
      </c>
      <c r="J89" s="13">
        <v>5</v>
      </c>
      <c r="K89" s="13">
        <v>1</v>
      </c>
    </row>
    <row r="90" spans="1:11" ht="15" hidden="1" customHeight="1" x14ac:dyDescent="0.35">
      <c r="A90" s="6" t="str">
        <f>MID(C90,2,FIND(")",C90,1)-5)</f>
        <v xml:space="preserve">4.10.44.1.1 </v>
      </c>
      <c r="B90" t="str">
        <f>IF(ISNUMBER(FIND("[PASSED]",C90,1)),"PASSED","FAILED")</f>
        <v>PASSED</v>
      </c>
      <c r="C90" s="19" t="s">
        <v>192</v>
      </c>
      <c r="D90" s="6"/>
      <c r="G90" s="13">
        <v>4</v>
      </c>
      <c r="H90" s="13">
        <v>10</v>
      </c>
      <c r="I90" s="13">
        <v>44</v>
      </c>
      <c r="J90" s="13">
        <v>1</v>
      </c>
      <c r="K90" s="13">
        <v>1</v>
      </c>
    </row>
    <row r="91" spans="1:11" ht="15" hidden="1" customHeight="1" x14ac:dyDescent="0.35">
      <c r="A91" s="6" t="str">
        <f>MID(C91,2,FIND(")",C91,1)-5)</f>
        <v xml:space="preserve">4.10.44.1.2 </v>
      </c>
      <c r="B91" t="str">
        <f>IF(ISNUMBER(FIND("[PASSED]",C91,1)),"PASSED","FAILED")</f>
        <v>PASSED</v>
      </c>
      <c r="C91" s="19" t="s">
        <v>159</v>
      </c>
      <c r="D91" s="6"/>
      <c r="G91" s="13">
        <v>4</v>
      </c>
      <c r="H91" s="13">
        <v>10</v>
      </c>
      <c r="I91" s="13">
        <v>44</v>
      </c>
      <c r="J91" s="13">
        <v>1</v>
      </c>
      <c r="K91" s="13">
        <v>2</v>
      </c>
    </row>
    <row r="92" spans="1:11" ht="15" hidden="1" customHeight="1" x14ac:dyDescent="0.35">
      <c r="A92" s="6" t="str">
        <f>MID(C92,2,FIND(")",C92,1)-5)</f>
        <v xml:space="preserve">4.11.3.1 </v>
      </c>
      <c r="B92" t="str">
        <f>IF(ISNUMBER(FIND("[PASSED]",C92,1)),"PASSED","FAILED")</f>
        <v>PASSED</v>
      </c>
      <c r="C92" s="19" t="s">
        <v>21</v>
      </c>
      <c r="D92" s="6"/>
      <c r="G92" s="13">
        <v>4</v>
      </c>
      <c r="H92" s="13">
        <v>11</v>
      </c>
      <c r="I92" s="13">
        <v>3</v>
      </c>
      <c r="J92" s="13">
        <v>1</v>
      </c>
    </row>
    <row r="93" spans="1:11" ht="15" hidden="1" customHeight="1" x14ac:dyDescent="0.35">
      <c r="A93" s="6" t="str">
        <f>MID(C93,2,FIND(")",C93,1)-5)</f>
        <v xml:space="preserve">4.11.3.2 </v>
      </c>
      <c r="B93" t="str">
        <f>IF(ISNUMBER(FIND("[PASSED]",C93,1)),"PASSED","FAILED")</f>
        <v>PASSED</v>
      </c>
      <c r="C93" s="19" t="s">
        <v>343</v>
      </c>
      <c r="D93" s="6"/>
      <c r="G93" s="13">
        <v>4</v>
      </c>
      <c r="H93" s="13">
        <v>11</v>
      </c>
      <c r="I93" s="13">
        <v>3</v>
      </c>
      <c r="J93" s="13">
        <v>2</v>
      </c>
    </row>
    <row r="94" spans="1:11" ht="15" hidden="1" customHeight="1" x14ac:dyDescent="0.35">
      <c r="A94" s="6" t="str">
        <f>MID(C94,2,FIND(")",C94,1)-5)</f>
        <v xml:space="preserve">4.11.5.1 </v>
      </c>
      <c r="B94" t="str">
        <f>IF(ISNUMBER(FIND("[PASSED]",C94,1)),"PASSED","FAILED")</f>
        <v>PASSED</v>
      </c>
      <c r="C94" s="19" t="s">
        <v>80</v>
      </c>
      <c r="D94" s="6"/>
      <c r="G94" s="13">
        <v>4</v>
      </c>
      <c r="H94" s="13">
        <v>11</v>
      </c>
      <c r="I94" s="13">
        <v>5</v>
      </c>
      <c r="J94" s="13">
        <v>1</v>
      </c>
    </row>
    <row r="95" spans="1:11" ht="15" hidden="1" customHeight="1" x14ac:dyDescent="0.35">
      <c r="A95" s="6" t="str">
        <f>MID(C95,2,FIND(")",C95,1)-5)</f>
        <v xml:space="preserve">4.11.5.2 </v>
      </c>
      <c r="B95" t="str">
        <f>IF(ISNUMBER(FIND("[PASSED]",C95,1)),"PASSED","FAILED")</f>
        <v>PASSED</v>
      </c>
      <c r="C95" s="19" t="s">
        <v>231</v>
      </c>
      <c r="D95" s="6"/>
      <c r="G95" s="13">
        <v>4</v>
      </c>
      <c r="H95" s="13">
        <v>11</v>
      </c>
      <c r="I95" s="13">
        <v>5</v>
      </c>
      <c r="J95" s="13">
        <v>2</v>
      </c>
    </row>
    <row r="96" spans="1:11" ht="15" hidden="1" customHeight="1" x14ac:dyDescent="0.35">
      <c r="A96" s="6" t="str">
        <f>MID(C96,2,FIND(")",C96,1)-5)</f>
        <v xml:space="preserve">4.11.6.1 </v>
      </c>
      <c r="B96" t="str">
        <f>IF(ISNUMBER(FIND("[PASSED]",C96,1)),"PASSED","FAILED")</f>
        <v>PASSED</v>
      </c>
      <c r="C96" s="19" t="s">
        <v>122</v>
      </c>
      <c r="D96" s="6"/>
      <c r="G96" s="13">
        <v>4</v>
      </c>
      <c r="H96" s="13">
        <v>11</v>
      </c>
      <c r="I96" s="13">
        <v>6</v>
      </c>
      <c r="J96" s="13">
        <v>1</v>
      </c>
    </row>
    <row r="97" spans="1:11" ht="15" hidden="1" customHeight="1" x14ac:dyDescent="0.35">
      <c r="A97" s="6" t="str">
        <f>MID(C97,2,FIND(")",C97,1)-5)</f>
        <v xml:space="preserve">4.11.6.2 </v>
      </c>
      <c r="B97" t="str">
        <f>IF(ISNUMBER(FIND("[PASSED]",C97,1)),"PASSED","FAILED")</f>
        <v>PASSED</v>
      </c>
      <c r="C97" s="19" t="s">
        <v>167</v>
      </c>
      <c r="D97" s="6"/>
      <c r="G97" s="13">
        <v>4</v>
      </c>
      <c r="H97" s="13">
        <v>11</v>
      </c>
      <c r="I97" s="13">
        <v>6</v>
      </c>
      <c r="J97" s="13">
        <v>2</v>
      </c>
    </row>
    <row r="98" spans="1:11" ht="15" hidden="1" customHeight="1" x14ac:dyDescent="0.35">
      <c r="A98" s="6" t="str">
        <f>MID(C98,2,FIND(")",C98,1)-5)</f>
        <v xml:space="preserve">4.11.6.3 </v>
      </c>
      <c r="B98" t="str">
        <f>IF(ISNUMBER(FIND("[PASSED]",C98,1)),"PASSED","FAILED")</f>
        <v>PASSED</v>
      </c>
      <c r="C98" s="19" t="s">
        <v>310</v>
      </c>
      <c r="D98" s="6"/>
      <c r="G98" s="13">
        <v>4</v>
      </c>
      <c r="H98" s="13">
        <v>11</v>
      </c>
      <c r="I98" s="13">
        <v>6</v>
      </c>
      <c r="J98" s="13">
        <v>3</v>
      </c>
    </row>
    <row r="99" spans="1:11" ht="15" hidden="1" customHeight="1" x14ac:dyDescent="0.35">
      <c r="A99" s="6" t="str">
        <f>MID(C99,2,FIND(")",C99,1)-5)</f>
        <v xml:space="preserve">4.11.7.1.1 </v>
      </c>
      <c r="B99" t="str">
        <f>IF(ISNUMBER(FIND("[PASSED]",C99,1)),"PASSED","FAILED")</f>
        <v>PASSED</v>
      </c>
      <c r="C99" s="19" t="s">
        <v>415</v>
      </c>
      <c r="D99" s="6"/>
      <c r="G99" s="13">
        <v>4</v>
      </c>
      <c r="H99" s="13">
        <v>11</v>
      </c>
      <c r="I99" s="13">
        <v>7</v>
      </c>
      <c r="J99" s="13">
        <v>1</v>
      </c>
      <c r="K99" s="13">
        <v>1</v>
      </c>
    </row>
    <row r="100" spans="1:11" ht="15" customHeight="1" x14ac:dyDescent="0.35">
      <c r="A100" s="6" t="str">
        <f>MID(C100,2,FIND(")",C100,1)-5)</f>
        <v xml:space="preserve">4.11.7.1.2 </v>
      </c>
      <c r="B100" t="str">
        <f>IF(ISNUMBER(FIND("[PASSED]",C100,1)),"PASSED","FAILED")</f>
        <v>FAILED</v>
      </c>
      <c r="C100" s="19" t="s">
        <v>394</v>
      </c>
      <c r="D100" s="13" t="s">
        <v>466</v>
      </c>
      <c r="E100" s="6" t="s">
        <v>330</v>
      </c>
      <c r="F100" s="6" t="s">
        <v>474</v>
      </c>
      <c r="G100" s="13">
        <v>4</v>
      </c>
      <c r="H100" s="13">
        <v>11</v>
      </c>
      <c r="I100" s="13">
        <v>7</v>
      </c>
      <c r="J100" s="13">
        <v>1</v>
      </c>
      <c r="K100" s="13">
        <v>2</v>
      </c>
    </row>
    <row r="101" spans="1:11" ht="15" hidden="1" customHeight="1" x14ac:dyDescent="0.35">
      <c r="A101" s="6" t="str">
        <f>MID(C101,2,FIND(")",C101,1)-5)</f>
        <v xml:space="preserve">4.11.7.1.3 </v>
      </c>
      <c r="B101" t="str">
        <f>IF(ISNUMBER(FIND("[PASSED]",C101,1)),"PASSED","FAILED")</f>
        <v>PASSED</v>
      </c>
      <c r="C101" s="19" t="s">
        <v>451</v>
      </c>
      <c r="G101" s="13">
        <v>4</v>
      </c>
      <c r="H101" s="13">
        <v>11</v>
      </c>
      <c r="I101" s="13">
        <v>7</v>
      </c>
      <c r="J101" s="13">
        <v>1</v>
      </c>
      <c r="K101" s="13">
        <v>3</v>
      </c>
    </row>
    <row r="102" spans="1:11" ht="15" hidden="1" customHeight="1" x14ac:dyDescent="0.35">
      <c r="A102" s="6" t="str">
        <f>MID(C102,2,FIND(")",C102,1)-5)</f>
        <v xml:space="preserve">4.11.7.1.4 </v>
      </c>
      <c r="B102" t="str">
        <f>IF(ISNUMBER(FIND("[PASSED]",C102,1)),"PASSED","FAILED")</f>
        <v>PASSED</v>
      </c>
      <c r="C102" s="19" t="s">
        <v>396</v>
      </c>
      <c r="D102" s="6"/>
      <c r="G102" s="13">
        <v>4</v>
      </c>
      <c r="H102" s="13">
        <v>11</v>
      </c>
      <c r="I102" s="13">
        <v>7</v>
      </c>
      <c r="J102" s="13">
        <v>1</v>
      </c>
      <c r="K102" s="13">
        <v>4</v>
      </c>
    </row>
    <row r="103" spans="1:11" ht="15" hidden="1" customHeight="1" x14ac:dyDescent="0.35">
      <c r="A103" s="6" t="str">
        <f>MID(C103,2,FIND(")",C103,1)-5)</f>
        <v xml:space="preserve">4.11.7.1.5 </v>
      </c>
      <c r="B103" t="str">
        <f>IF(ISNUMBER(FIND("[PASSED]",C103,1)),"PASSED","FAILED")</f>
        <v>PASSED</v>
      </c>
      <c r="C103" s="19" t="s">
        <v>452</v>
      </c>
      <c r="D103" s="6"/>
      <c r="G103" s="13">
        <v>4</v>
      </c>
      <c r="H103" s="13">
        <v>11</v>
      </c>
      <c r="I103" s="13">
        <v>7</v>
      </c>
      <c r="J103" s="13">
        <v>1</v>
      </c>
      <c r="K103" s="13">
        <v>5</v>
      </c>
    </row>
    <row r="104" spans="1:11" ht="15" customHeight="1" x14ac:dyDescent="0.35">
      <c r="A104" s="6" t="str">
        <f>MID(C104,2,FIND(")",C104,1)-5)</f>
        <v xml:space="preserve">4.11.7.1.6 </v>
      </c>
      <c r="B104" t="str">
        <f>IF(ISNUMBER(FIND("[PASSED]",C104,1)),"PASSED","FAILED")</f>
        <v>FAILED</v>
      </c>
      <c r="C104" s="19" t="s">
        <v>350</v>
      </c>
      <c r="D104" s="13" t="s">
        <v>464</v>
      </c>
      <c r="E104" s="6" t="s">
        <v>330</v>
      </c>
      <c r="F104" s="6" t="s">
        <v>474</v>
      </c>
      <c r="G104" s="13">
        <v>4</v>
      </c>
      <c r="H104" s="13">
        <v>11</v>
      </c>
      <c r="I104" s="13">
        <v>7</v>
      </c>
      <c r="J104" s="13">
        <v>1</v>
      </c>
      <c r="K104" s="13">
        <v>6</v>
      </c>
    </row>
    <row r="105" spans="1:11" ht="15" hidden="1" customHeight="1" x14ac:dyDescent="0.35">
      <c r="A105" s="6" t="str">
        <f>MID(C105,2,FIND(")",C105,1)-5)</f>
        <v xml:space="preserve">4.11.7.1.7 </v>
      </c>
      <c r="B105" t="str">
        <f>IF(ISNUMBER(FIND("[PASSED]",C105,1)),"PASSED","FAILED")</f>
        <v>PASSED</v>
      </c>
      <c r="C105" s="19" t="s">
        <v>434</v>
      </c>
      <c r="D105" s="6"/>
      <c r="G105" s="13">
        <v>4</v>
      </c>
      <c r="H105" s="13">
        <v>11</v>
      </c>
      <c r="I105" s="13">
        <v>7</v>
      </c>
      <c r="J105" s="13">
        <v>1</v>
      </c>
      <c r="K105" s="13">
        <v>7</v>
      </c>
    </row>
    <row r="106" spans="1:11" ht="15" customHeight="1" x14ac:dyDescent="0.35">
      <c r="A106" s="6" t="str">
        <f>MID(C106,2,FIND(")",C106,1)-5)</f>
        <v xml:space="preserve">4.11.7.1.8 </v>
      </c>
      <c r="B106" t="str">
        <f>IF(ISNUMBER(FIND("[PASSED]",C106,1)),"PASSED","FAILED")</f>
        <v>FAILED</v>
      </c>
      <c r="C106" s="19" t="s">
        <v>397</v>
      </c>
      <c r="D106" s="13" t="s">
        <v>465</v>
      </c>
      <c r="E106" s="6" t="s">
        <v>330</v>
      </c>
      <c r="F106" s="6" t="s">
        <v>474</v>
      </c>
      <c r="G106" s="13">
        <v>4</v>
      </c>
      <c r="H106" s="13">
        <v>11</v>
      </c>
      <c r="I106" s="13">
        <v>7</v>
      </c>
      <c r="J106" s="13">
        <v>1</v>
      </c>
      <c r="K106" s="13">
        <v>8</v>
      </c>
    </row>
    <row r="107" spans="1:11" ht="15" hidden="1" customHeight="1" x14ac:dyDescent="0.35">
      <c r="A107" s="6" t="str">
        <f>MID(C107,2,FIND(")",C107,1)-5)</f>
        <v xml:space="preserve">4.11.7.2.1 </v>
      </c>
      <c r="B107" t="str">
        <f>IF(ISNUMBER(FIND("[PASSED]",C107,1)),"PASSED","FAILED")</f>
        <v>PASSED</v>
      </c>
      <c r="C107" s="19" t="s">
        <v>406</v>
      </c>
      <c r="D107" s="6"/>
      <c r="G107" s="13">
        <v>4</v>
      </c>
      <c r="H107" s="13">
        <v>11</v>
      </c>
      <c r="I107" s="13">
        <v>7</v>
      </c>
      <c r="J107" s="13">
        <v>2</v>
      </c>
      <c r="K107" s="13">
        <v>1</v>
      </c>
    </row>
    <row r="108" spans="1:11" ht="15" hidden="1" customHeight="1" x14ac:dyDescent="0.35">
      <c r="A108" s="6" t="str">
        <f>MID(C108,2,FIND(")",C108,1)-5)</f>
        <v xml:space="preserve">4.11.7.2.2 </v>
      </c>
      <c r="B108" t="str">
        <f>IF(ISNUMBER(FIND("[PASSED]",C108,1)),"PASSED","FAILED")</f>
        <v>PASSED</v>
      </c>
      <c r="C108" s="19" t="s">
        <v>454</v>
      </c>
      <c r="D108" s="6"/>
      <c r="G108" s="13">
        <v>4</v>
      </c>
      <c r="H108" s="13">
        <v>11</v>
      </c>
      <c r="I108" s="13">
        <v>7</v>
      </c>
      <c r="J108" s="13">
        <v>2</v>
      </c>
      <c r="K108" s="13">
        <v>2</v>
      </c>
    </row>
    <row r="109" spans="1:11" ht="15" customHeight="1" x14ac:dyDescent="0.35">
      <c r="A109" s="6" t="str">
        <f>MID(C109,2,FIND(")",C109,1)-5)</f>
        <v xml:space="preserve">4.11.7.2.3 </v>
      </c>
      <c r="B109" t="str">
        <f>IF(ISNUMBER(FIND("[PASSED]",C109,1)),"PASSED","FAILED")</f>
        <v>FAILED</v>
      </c>
      <c r="C109" s="19" t="s">
        <v>457</v>
      </c>
      <c r="D109" s="13" t="s">
        <v>468</v>
      </c>
      <c r="E109" s="6" t="s">
        <v>330</v>
      </c>
      <c r="F109" s="6" t="s">
        <v>474</v>
      </c>
      <c r="G109" s="13">
        <v>4</v>
      </c>
      <c r="H109" s="13">
        <v>11</v>
      </c>
      <c r="I109" s="13">
        <v>7</v>
      </c>
      <c r="J109" s="13">
        <v>2</v>
      </c>
      <c r="K109" s="13">
        <v>3</v>
      </c>
    </row>
    <row r="110" spans="1:11" ht="15" hidden="1" customHeight="1" x14ac:dyDescent="0.35">
      <c r="A110" s="6" t="str">
        <f>MID(C110,2,FIND(")",C110,1)-5)</f>
        <v xml:space="preserve">4.11.7.2.4 </v>
      </c>
      <c r="B110" t="str">
        <f>IF(ISNUMBER(FIND("[PASSED]",C110,1)),"PASSED","FAILED")</f>
        <v>PASSED</v>
      </c>
      <c r="C110" s="19" t="s">
        <v>344</v>
      </c>
      <c r="D110" s="6"/>
      <c r="G110" s="13">
        <v>4</v>
      </c>
      <c r="H110" s="13">
        <v>11</v>
      </c>
      <c r="I110" s="13">
        <v>7</v>
      </c>
      <c r="J110" s="13">
        <v>2</v>
      </c>
      <c r="K110" s="13">
        <v>4</v>
      </c>
    </row>
    <row r="111" spans="1:11" ht="15" hidden="1" customHeight="1" x14ac:dyDescent="0.35">
      <c r="A111" s="6" t="str">
        <f>MID(C111,2,FIND(")",C111,1)-5)</f>
        <v xml:space="preserve">4.11.7.2.5 </v>
      </c>
      <c r="B111" t="str">
        <f>IF(ISNUMBER(FIND("[PASSED]",C111,1)),"PASSED","FAILED")</f>
        <v>PASSED</v>
      </c>
      <c r="C111" s="19" t="s">
        <v>403</v>
      </c>
      <c r="D111" s="6"/>
      <c r="G111" s="13">
        <v>4</v>
      </c>
      <c r="H111" s="13">
        <v>11</v>
      </c>
      <c r="I111" s="13">
        <v>7</v>
      </c>
      <c r="J111" s="13">
        <v>2</v>
      </c>
      <c r="K111" s="13">
        <v>5</v>
      </c>
    </row>
    <row r="112" spans="1:11" ht="15" hidden="1" customHeight="1" x14ac:dyDescent="0.35">
      <c r="A112" s="6" t="str">
        <f>MID(C112,2,FIND(")",C112,1)-5)</f>
        <v xml:space="preserve">4.11.7.2.6 </v>
      </c>
      <c r="B112" t="str">
        <f>IF(ISNUMBER(FIND("[PASSED]",C112,1)),"PASSED","FAILED")</f>
        <v>PASSED</v>
      </c>
      <c r="C112" s="19" t="s">
        <v>437</v>
      </c>
      <c r="D112" s="6"/>
      <c r="G112" s="13">
        <v>4</v>
      </c>
      <c r="H112" s="13">
        <v>11</v>
      </c>
      <c r="I112" s="13">
        <v>7</v>
      </c>
      <c r="J112" s="13">
        <v>2</v>
      </c>
      <c r="K112" s="13">
        <v>6</v>
      </c>
    </row>
    <row r="113" spans="1:11" ht="15" hidden="1" customHeight="1" x14ac:dyDescent="0.35">
      <c r="A113" s="6" t="str">
        <f>MID(C113,2,FIND(")",C113,1)-5)</f>
        <v xml:space="preserve">4.11.7.2.7 </v>
      </c>
      <c r="B113" t="str">
        <f>IF(ISNUMBER(FIND("[PASSED]",C113,1)),"PASSED","FAILED")</f>
        <v>PASSED</v>
      </c>
      <c r="C113" s="19" t="s">
        <v>438</v>
      </c>
      <c r="D113" s="6"/>
      <c r="G113" s="13">
        <v>4</v>
      </c>
      <c r="H113" s="13">
        <v>11</v>
      </c>
      <c r="I113" s="13">
        <v>7</v>
      </c>
      <c r="J113" s="13">
        <v>2</v>
      </c>
      <c r="K113" s="13">
        <v>7</v>
      </c>
    </row>
    <row r="114" spans="1:11" ht="15" hidden="1" customHeight="1" x14ac:dyDescent="0.35">
      <c r="A114" s="6" t="str">
        <f>MID(C114,2,FIND(")",C114,1)-5)</f>
        <v xml:space="preserve">4.11.7.2.8 </v>
      </c>
      <c r="B114" t="str">
        <f>IF(ISNUMBER(FIND("[PASSED]",C114,1)),"PASSED","FAILED")</f>
        <v>PASSED</v>
      </c>
      <c r="C114" s="19" t="s">
        <v>461</v>
      </c>
      <c r="D114" s="6"/>
      <c r="G114" s="13">
        <v>4</v>
      </c>
      <c r="H114" s="13">
        <v>11</v>
      </c>
      <c r="I114" s="13">
        <v>7</v>
      </c>
      <c r="J114" s="13">
        <v>2</v>
      </c>
      <c r="K114" s="13">
        <v>8</v>
      </c>
    </row>
    <row r="115" spans="1:11" ht="15" hidden="1" customHeight="1" x14ac:dyDescent="0.35">
      <c r="A115" s="6" t="str">
        <f>MID(C115,2,FIND(")",C115,1)-5)</f>
        <v xml:space="preserve">4.11.7.2.9 </v>
      </c>
      <c r="B115" t="str">
        <f>IF(ISNUMBER(FIND("[PASSED]",C115,1)),"PASSED","FAILED")</f>
        <v>PASSED</v>
      </c>
      <c r="C115" s="19" t="s">
        <v>390</v>
      </c>
      <c r="G115" s="13">
        <v>4</v>
      </c>
      <c r="H115" s="13">
        <v>11</v>
      </c>
      <c r="I115" s="13">
        <v>7</v>
      </c>
      <c r="J115" s="13">
        <v>2</v>
      </c>
      <c r="K115" s="13">
        <v>9</v>
      </c>
    </row>
    <row r="116" spans="1:11" ht="15" hidden="1" customHeight="1" x14ac:dyDescent="0.35">
      <c r="A116" s="6" t="str">
        <f>MID(C116,2,FIND(")",C116,1)-5)</f>
        <v xml:space="preserve">4.11.7.2.10 </v>
      </c>
      <c r="B116" t="str">
        <f>IF(ISNUMBER(FIND("[PASSED]",C116,1)),"PASSED","FAILED")</f>
        <v>PASSED</v>
      </c>
      <c r="C116" s="19" t="s">
        <v>402</v>
      </c>
      <c r="G116" s="13">
        <v>4</v>
      </c>
      <c r="H116" s="13">
        <v>11</v>
      </c>
      <c r="I116" s="13">
        <v>7</v>
      </c>
      <c r="J116" s="13">
        <v>2</v>
      </c>
      <c r="K116" s="13">
        <v>10</v>
      </c>
    </row>
    <row r="117" spans="1:11" ht="15" hidden="1" customHeight="1" x14ac:dyDescent="0.35">
      <c r="A117" s="6" t="str">
        <f>MID(C117,2,FIND(")",C117,1)-5)</f>
        <v xml:space="preserve">4.11.7.2.11 </v>
      </c>
      <c r="B117" t="str">
        <f>IF(ISNUMBER(FIND("[PASSED]",C117,1)),"PASSED","FAILED")</f>
        <v>PASSED</v>
      </c>
      <c r="C117" s="19" t="s">
        <v>424</v>
      </c>
      <c r="D117" s="6"/>
      <c r="G117" s="13">
        <v>4</v>
      </c>
      <c r="H117" s="13">
        <v>11</v>
      </c>
      <c r="I117" s="13">
        <v>7</v>
      </c>
      <c r="J117" s="13">
        <v>2</v>
      </c>
      <c r="K117" s="13">
        <v>11</v>
      </c>
    </row>
    <row r="118" spans="1:11" ht="15" customHeight="1" x14ac:dyDescent="0.35">
      <c r="A118" s="6" t="str">
        <f>MID(C118,2,FIND(")",C118,1)-5)</f>
        <v xml:space="preserve">4.11.7.2.12 </v>
      </c>
      <c r="B118" t="str">
        <f>IF(ISNUMBER(FIND("[PASSED]",C118,1)),"PASSED","FAILED")</f>
        <v>FAILED</v>
      </c>
      <c r="C118" s="19" t="s">
        <v>333</v>
      </c>
      <c r="D118" s="13" t="s">
        <v>469</v>
      </c>
      <c r="E118" s="6" t="s">
        <v>330</v>
      </c>
      <c r="F118" s="6" t="s">
        <v>474</v>
      </c>
      <c r="G118" s="13">
        <v>4</v>
      </c>
      <c r="H118" s="13">
        <v>11</v>
      </c>
      <c r="I118" s="13">
        <v>7</v>
      </c>
      <c r="J118" s="13">
        <v>2</v>
      </c>
      <c r="K118" s="13">
        <v>12</v>
      </c>
    </row>
    <row r="119" spans="1:11" ht="15" customHeight="1" x14ac:dyDescent="0.35">
      <c r="A119" s="6" t="str">
        <f>MID(C119,2,FIND(")",C119,1)-5)</f>
        <v xml:space="preserve">4.11.7.2.13 </v>
      </c>
      <c r="B119" t="str">
        <f>IF(ISNUMBER(FIND("[PASSED]",C119,1)),"PASSED","FAILED")</f>
        <v>FAILED</v>
      </c>
      <c r="C119" s="19" t="s">
        <v>450</v>
      </c>
      <c r="D119" s="13" t="s">
        <v>470</v>
      </c>
      <c r="E119" s="6" t="s">
        <v>330</v>
      </c>
      <c r="F119" s="6" t="s">
        <v>474</v>
      </c>
      <c r="G119" s="13">
        <v>4</v>
      </c>
      <c r="H119" s="13">
        <v>11</v>
      </c>
      <c r="I119" s="13">
        <v>7</v>
      </c>
      <c r="J119" s="13">
        <v>2</v>
      </c>
      <c r="K119" s="13">
        <v>13</v>
      </c>
    </row>
    <row r="120" spans="1:11" ht="15" customHeight="1" x14ac:dyDescent="0.35">
      <c r="A120" s="6" t="str">
        <f>MID(C120,2,FIND(")",C120,1)-5)</f>
        <v xml:space="preserve">4.11.7.2.14 </v>
      </c>
      <c r="B120" t="str">
        <f>IF(ISNUMBER(FIND("[PASSED]",C120,1)),"PASSED","FAILED")</f>
        <v>FAILED</v>
      </c>
      <c r="C120" s="19" t="s">
        <v>421</v>
      </c>
      <c r="D120" s="13" t="s">
        <v>471</v>
      </c>
      <c r="E120" s="6" t="s">
        <v>330</v>
      </c>
      <c r="F120" s="6" t="s">
        <v>474</v>
      </c>
      <c r="G120" s="13">
        <v>4</v>
      </c>
      <c r="H120" s="13">
        <v>11</v>
      </c>
      <c r="I120" s="13">
        <v>7</v>
      </c>
      <c r="J120" s="13">
        <v>2</v>
      </c>
      <c r="K120" s="13">
        <v>14</v>
      </c>
    </row>
    <row r="121" spans="1:11" ht="15" customHeight="1" x14ac:dyDescent="0.35">
      <c r="A121" s="6" t="str">
        <f>MID(C121,2,FIND(")",C121,1)-5)</f>
        <v xml:space="preserve">4.11.7.3.1 </v>
      </c>
      <c r="B121" t="str">
        <f>IF(ISNUMBER(FIND("[PASSED]",C121,1)),"PASSED","FAILED")</f>
        <v>FAILED</v>
      </c>
      <c r="C121" s="19" t="s">
        <v>334</v>
      </c>
      <c r="D121" s="13" t="s">
        <v>472</v>
      </c>
      <c r="E121" s="6" t="s">
        <v>330</v>
      </c>
      <c r="F121" s="6" t="s">
        <v>474</v>
      </c>
      <c r="G121" s="13">
        <v>4</v>
      </c>
      <c r="H121" s="13">
        <v>11</v>
      </c>
      <c r="I121" s="13">
        <v>7</v>
      </c>
      <c r="J121" s="13">
        <v>3</v>
      </c>
      <c r="K121" s="13">
        <v>1</v>
      </c>
    </row>
    <row r="122" spans="1:11" ht="15" hidden="1" customHeight="1" x14ac:dyDescent="0.35">
      <c r="A122" s="6" t="str">
        <f>MID(C122,2,FIND(")",C122,1)-5)</f>
        <v xml:space="preserve">4.11.7.3.2 </v>
      </c>
      <c r="B122" t="str">
        <f>IF(ISNUMBER(FIND("[PASSED]",C122,1)),"PASSED","FAILED")</f>
        <v>PASSED</v>
      </c>
      <c r="C122" s="19" t="s">
        <v>426</v>
      </c>
      <c r="D122" s="6"/>
      <c r="G122" s="13">
        <v>4</v>
      </c>
      <c r="H122" s="13">
        <v>11</v>
      </c>
      <c r="I122" s="13">
        <v>7</v>
      </c>
      <c r="J122" s="13">
        <v>3</v>
      </c>
      <c r="K122" s="13">
        <v>2</v>
      </c>
    </row>
    <row r="123" spans="1:11" ht="15" hidden="1" customHeight="1" x14ac:dyDescent="0.35">
      <c r="A123" s="6" t="str">
        <f>MID(C123,2,FIND(")",C123,1)-5)</f>
        <v xml:space="preserve">4.11.7.4 </v>
      </c>
      <c r="B123" t="str">
        <f>IF(ISNUMBER(FIND("[PASSED]",C123,1)),"PASSED","FAILED")</f>
        <v>PASSED</v>
      </c>
      <c r="C123" s="19" t="s">
        <v>442</v>
      </c>
      <c r="G123" s="13">
        <v>4</v>
      </c>
      <c r="H123" s="13">
        <v>11</v>
      </c>
      <c r="I123" s="13">
        <v>7</v>
      </c>
      <c r="J123" s="13">
        <v>4</v>
      </c>
    </row>
    <row r="124" spans="1:11" ht="15" hidden="1" customHeight="1" x14ac:dyDescent="0.35">
      <c r="A124" s="6" t="str">
        <f>MID(C124,2,FIND(")",C124,1)-5)</f>
        <v xml:space="preserve">4.11.7.5 </v>
      </c>
      <c r="B124" t="str">
        <f>IF(ISNUMBER(FIND("[PASSED]",C124,1)),"PASSED","FAILED")</f>
        <v>PASSED</v>
      </c>
      <c r="C124" s="19" t="s">
        <v>371</v>
      </c>
      <c r="D124" s="6"/>
      <c r="G124" s="13">
        <v>4</v>
      </c>
      <c r="H124" s="13">
        <v>11</v>
      </c>
      <c r="I124" s="13">
        <v>7</v>
      </c>
      <c r="J124" s="13">
        <v>5</v>
      </c>
    </row>
    <row r="125" spans="1:11" ht="15" hidden="1" customHeight="1" x14ac:dyDescent="0.35">
      <c r="A125" s="6" t="str">
        <f>MID(C125,2,FIND(")",C125,1)-5)</f>
        <v xml:space="preserve">4.11.7.6 </v>
      </c>
      <c r="B125" t="str">
        <f>IF(ISNUMBER(FIND("[PASSED]",C125,1)),"PASSED","FAILED")</f>
        <v>PASSED</v>
      </c>
      <c r="C125" s="19" t="s">
        <v>408</v>
      </c>
      <c r="D125" s="6"/>
      <c r="G125" s="13">
        <v>4</v>
      </c>
      <c r="H125" s="13">
        <v>11</v>
      </c>
      <c r="I125" s="13">
        <v>7</v>
      </c>
      <c r="J125" s="13">
        <v>6</v>
      </c>
    </row>
    <row r="126" spans="1:11" ht="15" hidden="1" customHeight="1" x14ac:dyDescent="0.35">
      <c r="A126" s="6" t="str">
        <f>MID(C126,2,FIND(")",C126,1)-5)</f>
        <v xml:space="preserve">4.11.8.1 </v>
      </c>
      <c r="B126" t="str">
        <f>IF(ISNUMBER(FIND("[PASSED]",C126,1)),"PASSED","FAILED")</f>
        <v>PASSED</v>
      </c>
      <c r="C126" s="19" t="s">
        <v>26</v>
      </c>
      <c r="D126" s="6"/>
      <c r="G126" s="13">
        <v>4</v>
      </c>
      <c r="H126" s="13">
        <v>11</v>
      </c>
      <c r="I126" s="13">
        <v>8</v>
      </c>
      <c r="J126" s="13">
        <v>1</v>
      </c>
    </row>
    <row r="127" spans="1:11" ht="15" hidden="1" customHeight="1" x14ac:dyDescent="0.35">
      <c r="A127" s="6" t="str">
        <f>MID(C127,2,FIND(")",C127,1)-5)</f>
        <v xml:space="preserve">4.11.8.2 </v>
      </c>
      <c r="B127" t="str">
        <f>IF(ISNUMBER(FIND("[PASSED]",C127,1)),"PASSED","FAILED")</f>
        <v>PASSED</v>
      </c>
      <c r="C127" s="19" t="s">
        <v>214</v>
      </c>
      <c r="D127" s="6"/>
      <c r="G127" s="13">
        <v>4</v>
      </c>
      <c r="H127" s="13">
        <v>11</v>
      </c>
      <c r="I127" s="13">
        <v>8</v>
      </c>
      <c r="J127" s="13">
        <v>2</v>
      </c>
    </row>
    <row r="128" spans="1:11" ht="15" hidden="1" customHeight="1" x14ac:dyDescent="0.35">
      <c r="A128" s="6" t="str">
        <f>MID(C128,2,FIND(")",C128,1)-5)</f>
        <v xml:space="preserve">4.11.8.3 </v>
      </c>
      <c r="B128" t="str">
        <f>IF(ISNUMBER(FIND("[PASSED]",C128,1)),"PASSED","FAILED")</f>
        <v>PASSED</v>
      </c>
      <c r="C128" s="19" t="s">
        <v>150</v>
      </c>
      <c r="D128" s="6"/>
      <c r="G128" s="13">
        <v>4</v>
      </c>
      <c r="H128" s="13">
        <v>11</v>
      </c>
      <c r="I128" s="13">
        <v>8</v>
      </c>
      <c r="J128" s="13">
        <v>3</v>
      </c>
    </row>
    <row r="129" spans="1:11" ht="15" hidden="1" customHeight="1" x14ac:dyDescent="0.35">
      <c r="A129" s="6" t="str">
        <f>MID(C129,2,FIND(")",C129,1)-5)</f>
        <v xml:space="preserve">4.11.10.1 </v>
      </c>
      <c r="B129" t="str">
        <f>IF(ISNUMBER(FIND("[PASSED]",C129,1)),"PASSED","FAILED")</f>
        <v>PASSED</v>
      </c>
      <c r="C129" s="19" t="s">
        <v>225</v>
      </c>
      <c r="D129" s="6"/>
      <c r="G129" s="13">
        <v>4</v>
      </c>
      <c r="H129" s="13">
        <v>11</v>
      </c>
      <c r="I129" s="13">
        <v>10</v>
      </c>
      <c r="J129" s="13">
        <v>1</v>
      </c>
    </row>
    <row r="130" spans="1:11" ht="15" hidden="1" customHeight="1" x14ac:dyDescent="0.35">
      <c r="A130" s="6" t="str">
        <f>MID(C130,2,FIND(")",C130,1)-5)</f>
        <v xml:space="preserve">4.11.10.2 </v>
      </c>
      <c r="B130" t="str">
        <f>IF(ISNUMBER(FIND("[PASSED]",C130,1)),"PASSED","FAILED")</f>
        <v>PASSED</v>
      </c>
      <c r="C130" s="19" t="s">
        <v>109</v>
      </c>
      <c r="D130" s="6"/>
      <c r="G130" s="13">
        <v>4</v>
      </c>
      <c r="H130" s="13">
        <v>11</v>
      </c>
      <c r="I130" s="13">
        <v>10</v>
      </c>
      <c r="J130" s="13">
        <v>2</v>
      </c>
    </row>
    <row r="131" spans="1:11" ht="15" hidden="1" customHeight="1" x14ac:dyDescent="0.35">
      <c r="A131" s="6" t="str">
        <f>MID(C131,2,FIND(")",C131,1)-5)</f>
        <v xml:space="preserve">4.11.10.3 </v>
      </c>
      <c r="B131" t="str">
        <f>IF(ISNUMBER(FIND("[PASSED]",C131,1)),"PASSED","FAILED")</f>
        <v>PASSED</v>
      </c>
      <c r="C131" s="19" t="s">
        <v>34</v>
      </c>
      <c r="D131" s="6"/>
      <c r="G131" s="13">
        <v>4</v>
      </c>
      <c r="H131" s="13">
        <v>11</v>
      </c>
      <c r="I131" s="13">
        <v>10</v>
      </c>
      <c r="J131" s="13">
        <v>3</v>
      </c>
    </row>
    <row r="132" spans="1:11" ht="15" hidden="1" customHeight="1" x14ac:dyDescent="0.35">
      <c r="A132" s="6" t="str">
        <f>MID(C132,2,FIND(")",C132,1)-5)</f>
        <v xml:space="preserve">4.11.15.1.1 </v>
      </c>
      <c r="B132" t="str">
        <f>IF(ISNUMBER(FIND("[PASSED]",C132,1)),"PASSED","FAILED")</f>
        <v>PASSED</v>
      </c>
      <c r="C132" s="19" t="s">
        <v>139</v>
      </c>
      <c r="G132" s="13">
        <v>4</v>
      </c>
      <c r="H132" s="13">
        <v>11</v>
      </c>
      <c r="I132" s="13">
        <v>15</v>
      </c>
      <c r="J132" s="13">
        <v>1</v>
      </c>
      <c r="K132" s="13">
        <v>1</v>
      </c>
    </row>
    <row r="133" spans="1:11" ht="15" hidden="1" customHeight="1" x14ac:dyDescent="0.35">
      <c r="A133" s="6" t="str">
        <f>MID(C133,2,FIND(")",C133,1)-5)</f>
        <v xml:space="preserve">4.11.15.1.2 </v>
      </c>
      <c r="B133" t="str">
        <f>IF(ISNUMBER(FIND("[PASSED]",C133,1)),"PASSED","FAILED")</f>
        <v>PASSED</v>
      </c>
      <c r="C133" s="19" t="s">
        <v>249</v>
      </c>
      <c r="D133" s="6"/>
      <c r="G133" s="13">
        <v>4</v>
      </c>
      <c r="H133" s="13">
        <v>11</v>
      </c>
      <c r="I133" s="13">
        <v>15</v>
      </c>
      <c r="J133" s="13">
        <v>1</v>
      </c>
      <c r="K133" s="13">
        <v>2</v>
      </c>
    </row>
    <row r="134" spans="1:11" ht="15" hidden="1" customHeight="1" x14ac:dyDescent="0.35">
      <c r="A134" s="6" t="str">
        <f>MID(C134,2,FIND(")",C134,1)-5)</f>
        <v xml:space="preserve">4.11.15.2.1 </v>
      </c>
      <c r="B134" t="str">
        <f>IF(ISNUMBER(FIND("[PASSED]",C134,1)),"PASSED","FAILED")</f>
        <v>PASSED</v>
      </c>
      <c r="C134" s="19" t="s">
        <v>151</v>
      </c>
      <c r="D134" s="6"/>
      <c r="G134" s="13">
        <v>4</v>
      </c>
      <c r="H134" s="13">
        <v>11</v>
      </c>
      <c r="I134" s="13">
        <v>15</v>
      </c>
      <c r="J134" s="13">
        <v>2</v>
      </c>
      <c r="K134" s="13">
        <v>1</v>
      </c>
    </row>
    <row r="135" spans="1:11" ht="15" hidden="1" customHeight="1" x14ac:dyDescent="0.35">
      <c r="A135" s="6" t="str">
        <f>MID(C135,2,FIND(")",C135,1)-5)</f>
        <v xml:space="preserve">4.11.15.2.2 </v>
      </c>
      <c r="B135" t="str">
        <f>IF(ISNUMBER(FIND("[PASSED]",C135,1)),"PASSED","FAILED")</f>
        <v>PASSED</v>
      </c>
      <c r="C135" s="19" t="s">
        <v>133</v>
      </c>
      <c r="D135" s="6"/>
      <c r="G135" s="13">
        <v>4</v>
      </c>
      <c r="H135" s="13">
        <v>11</v>
      </c>
      <c r="I135" s="13">
        <v>15</v>
      </c>
      <c r="J135" s="13">
        <v>2</v>
      </c>
      <c r="K135" s="13">
        <v>2</v>
      </c>
    </row>
    <row r="136" spans="1:11" ht="15" hidden="1" customHeight="1" x14ac:dyDescent="0.35">
      <c r="A136" s="6" t="str">
        <f>MID(C136,2,FIND(")",C136,1)-5)</f>
        <v xml:space="preserve">4.11.15.3.1 </v>
      </c>
      <c r="B136" t="str">
        <f>IF(ISNUMBER(FIND("[PASSED]",C136,1)),"PASSED","FAILED")</f>
        <v>PASSED</v>
      </c>
      <c r="C136" s="19" t="s">
        <v>14</v>
      </c>
      <c r="D136" s="6"/>
      <c r="G136" s="13">
        <v>4</v>
      </c>
      <c r="H136" s="13">
        <v>11</v>
      </c>
      <c r="I136" s="13">
        <v>15</v>
      </c>
      <c r="J136" s="13">
        <v>3</v>
      </c>
      <c r="K136" s="13">
        <v>1</v>
      </c>
    </row>
    <row r="137" spans="1:11" ht="15" hidden="1" customHeight="1" x14ac:dyDescent="0.35">
      <c r="A137" s="6" t="str">
        <f>MID(C137,2,FIND(")",C137,1)-5)</f>
        <v xml:space="preserve">4.11.15.3.2 </v>
      </c>
      <c r="B137" t="str">
        <f>IF(ISNUMBER(FIND("[PASSED]",C137,1)),"PASSED","FAILED")</f>
        <v>PASSED</v>
      </c>
      <c r="C137" s="19" t="s">
        <v>178</v>
      </c>
      <c r="D137" s="6"/>
      <c r="G137" s="13">
        <v>4</v>
      </c>
      <c r="H137" s="13">
        <v>11</v>
      </c>
      <c r="I137" s="13">
        <v>15</v>
      </c>
      <c r="J137" s="13">
        <v>3</v>
      </c>
      <c r="K137" s="13">
        <v>2</v>
      </c>
    </row>
    <row r="138" spans="1:11" ht="15" hidden="1" customHeight="1" x14ac:dyDescent="0.35">
      <c r="A138" s="6" t="str">
        <f>MID(C138,2,FIND(")",C138,1)-5)</f>
        <v xml:space="preserve">4.11.15.4.1 </v>
      </c>
      <c r="B138" t="str">
        <f>IF(ISNUMBER(FIND("[PASSED]",C138,1)),"PASSED","FAILED")</f>
        <v>PASSED</v>
      </c>
      <c r="C138" s="19" t="s">
        <v>312</v>
      </c>
      <c r="D138" s="6"/>
      <c r="G138" s="13">
        <v>4</v>
      </c>
      <c r="H138" s="13">
        <v>11</v>
      </c>
      <c r="I138" s="13">
        <v>15</v>
      </c>
      <c r="J138" s="13">
        <v>4</v>
      </c>
      <c r="K138" s="13">
        <v>1</v>
      </c>
    </row>
    <row r="139" spans="1:11" ht="15" hidden="1" customHeight="1" x14ac:dyDescent="0.35">
      <c r="A139" s="6" t="str">
        <f>MID(C139,2,FIND(")",C139,1)-5)</f>
        <v xml:space="preserve">4.11.15.4.2 </v>
      </c>
      <c r="B139" t="str">
        <f>IF(ISNUMBER(FIND("[PASSED]",C139,1)),"PASSED","FAILED")</f>
        <v>PASSED</v>
      </c>
      <c r="C139" s="19" t="s">
        <v>100</v>
      </c>
      <c r="D139" s="6"/>
      <c r="G139" s="13">
        <v>4</v>
      </c>
      <c r="H139" s="13">
        <v>11</v>
      </c>
      <c r="I139" s="13">
        <v>15</v>
      </c>
      <c r="J139" s="13">
        <v>4</v>
      </c>
      <c r="K139" s="13">
        <v>2</v>
      </c>
    </row>
    <row r="140" spans="1:11" ht="15" hidden="1" customHeight="1" x14ac:dyDescent="0.35">
      <c r="A140" s="6" t="str">
        <f>MID(C140,2,FIND(")",C140,1)-5)</f>
        <v xml:space="preserve">4.11.18.1 </v>
      </c>
      <c r="B140" t="str">
        <f>IF(ISNUMBER(FIND("[PASSED]",C140,1)),"PASSED","FAILED")</f>
        <v>PASSED</v>
      </c>
      <c r="C140" s="19" t="s">
        <v>373</v>
      </c>
      <c r="D140" s="6"/>
      <c r="G140" s="13">
        <v>4</v>
      </c>
      <c r="H140" s="13">
        <v>11</v>
      </c>
      <c r="I140" s="13">
        <v>18</v>
      </c>
      <c r="J140" s="13">
        <v>1</v>
      </c>
    </row>
    <row r="141" spans="1:11" ht="15" hidden="1" customHeight="1" x14ac:dyDescent="0.35">
      <c r="A141" s="6" t="str">
        <f>MID(C141,2,FIND(")",C141,1)-5)</f>
        <v xml:space="preserve">4.11.18.2 </v>
      </c>
      <c r="B141" t="str">
        <f>IF(ISNUMBER(FIND("[PASSED]",C141,1)),"PASSED","FAILED")</f>
        <v>PASSED</v>
      </c>
      <c r="C141" s="19" t="s">
        <v>299</v>
      </c>
      <c r="D141" s="6"/>
      <c r="G141" s="13">
        <v>4</v>
      </c>
      <c r="H141" s="13">
        <v>11</v>
      </c>
      <c r="I141" s="13">
        <v>18</v>
      </c>
      <c r="J141" s="13">
        <v>2</v>
      </c>
    </row>
    <row r="142" spans="1:11" ht="15" hidden="1" customHeight="1" x14ac:dyDescent="0.35">
      <c r="A142" s="6" t="str">
        <f>MID(C142,2,FIND(")",C142,1)-5)</f>
        <v xml:space="preserve">4.11.18.3 </v>
      </c>
      <c r="B142" t="str">
        <f>IF(ISNUMBER(FIND("[PASSED]",C142,1)),"PASSED","FAILED")</f>
        <v>PASSED</v>
      </c>
      <c r="C142" s="19" t="s">
        <v>199</v>
      </c>
      <c r="G142" s="13">
        <v>4</v>
      </c>
      <c r="H142" s="13">
        <v>11</v>
      </c>
      <c r="I142" s="13">
        <v>18</v>
      </c>
      <c r="J142" s="13">
        <v>3</v>
      </c>
    </row>
    <row r="143" spans="1:11" ht="15" hidden="1" customHeight="1" x14ac:dyDescent="0.35">
      <c r="A143" s="6" t="str">
        <f>MID(C143,2,FIND(")",C143,1)-5)</f>
        <v xml:space="preserve">4.11.18.4 </v>
      </c>
      <c r="B143" t="str">
        <f>IF(ISNUMBER(FIND("[PASSED]",C143,1)),"PASSED","FAILED")</f>
        <v>PASSED</v>
      </c>
      <c r="C143" s="19" t="s">
        <v>297</v>
      </c>
      <c r="G143" s="13">
        <v>4</v>
      </c>
      <c r="H143" s="13">
        <v>11</v>
      </c>
      <c r="I143" s="13">
        <v>18</v>
      </c>
      <c r="J143" s="13">
        <v>4</v>
      </c>
    </row>
    <row r="144" spans="1:11" ht="15" hidden="1" customHeight="1" x14ac:dyDescent="0.35">
      <c r="A144" s="6" t="str">
        <f>MID(C144,2,FIND(")",C144,1)-5)</f>
        <v xml:space="preserve">4.11.27.1 </v>
      </c>
      <c r="B144" t="str">
        <f>IF(ISNUMBER(FIND("[PASSED]",C144,1)),"PASSED","FAILED")</f>
        <v>PASSED</v>
      </c>
      <c r="C144" s="19" t="s">
        <v>155</v>
      </c>
      <c r="D144" s="6"/>
      <c r="G144" s="13">
        <v>4</v>
      </c>
      <c r="H144" s="13">
        <v>11</v>
      </c>
      <c r="I144" s="13">
        <v>27</v>
      </c>
      <c r="J144" s="13">
        <v>1</v>
      </c>
    </row>
    <row r="145" spans="1:12" ht="15" hidden="1" customHeight="1" x14ac:dyDescent="0.35">
      <c r="A145" s="6" t="str">
        <f>MID(C145,2,FIND(")",C145,1)-5)</f>
        <v xml:space="preserve">4.11.28.3.1 </v>
      </c>
      <c r="B145" t="str">
        <f>IF(ISNUMBER(FIND("[PASSED]",C145,1)),"PASSED","FAILED")</f>
        <v>PASSED</v>
      </c>
      <c r="C145" s="19" t="s">
        <v>149</v>
      </c>
      <c r="D145" s="6"/>
      <c r="G145" s="13">
        <v>4</v>
      </c>
      <c r="H145" s="13">
        <v>11</v>
      </c>
      <c r="I145" s="13">
        <v>28</v>
      </c>
      <c r="J145" s="13">
        <v>3</v>
      </c>
      <c r="K145" s="13">
        <v>1</v>
      </c>
    </row>
    <row r="146" spans="1:12" ht="15" customHeight="1" x14ac:dyDescent="0.35">
      <c r="A146" s="6" t="str">
        <f>MID(C146,2,FIND(")",C146,1)-5)</f>
        <v xml:space="preserve">4.11.28.3.2 </v>
      </c>
      <c r="B146" t="str">
        <f>IF(ISNUMBER(FIND("[PASSED]",C146,1)),"PASSED","FAILED")</f>
        <v>FAILED</v>
      </c>
      <c r="C146" s="19" t="s">
        <v>391</v>
      </c>
      <c r="D146" s="13" t="s">
        <v>473</v>
      </c>
      <c r="E146" s="6" t="s">
        <v>330</v>
      </c>
      <c r="F146" s="6" t="s">
        <v>474</v>
      </c>
      <c r="G146" s="13">
        <v>4</v>
      </c>
      <c r="H146" s="13">
        <v>11</v>
      </c>
      <c r="I146" s="13">
        <v>28</v>
      </c>
      <c r="J146" s="13">
        <v>3</v>
      </c>
      <c r="K146" s="13">
        <v>2</v>
      </c>
    </row>
    <row r="147" spans="1:12" ht="15" hidden="1" customHeight="1" x14ac:dyDescent="0.35">
      <c r="A147" s="6" t="str">
        <f>MID(C147,2,FIND(")",C147,1)-5)</f>
        <v xml:space="preserve">4.11.28.10.1 </v>
      </c>
      <c r="B147" t="str">
        <f>IF(ISNUMBER(FIND("[PASSED]",C147,1)),"PASSED","FAILED")</f>
        <v>PASSED</v>
      </c>
      <c r="C147" s="19" t="s">
        <v>342</v>
      </c>
      <c r="D147" s="6"/>
      <c r="G147" s="13">
        <v>4</v>
      </c>
      <c r="H147" s="13">
        <v>11</v>
      </c>
      <c r="I147" s="13">
        <v>28</v>
      </c>
      <c r="J147" s="13">
        <v>10</v>
      </c>
      <c r="K147" s="13">
        <v>1</v>
      </c>
    </row>
    <row r="148" spans="1:12" ht="15" hidden="1" customHeight="1" x14ac:dyDescent="0.35">
      <c r="A148" s="6" t="str">
        <f>MID(C148,2,FIND(")",C148,1)-5)</f>
        <v xml:space="preserve">4.11.31.1 </v>
      </c>
      <c r="B148" t="str">
        <f>IF(ISNUMBER(FIND("[PASSED]",C148,1)),"PASSED","FAILED")</f>
        <v>PASSED</v>
      </c>
      <c r="C148" s="19" t="s">
        <v>184</v>
      </c>
      <c r="D148" s="6"/>
      <c r="G148" s="13">
        <v>4</v>
      </c>
      <c r="H148" s="13">
        <v>11</v>
      </c>
      <c r="I148" s="13">
        <v>31</v>
      </c>
      <c r="J148" s="13">
        <v>1</v>
      </c>
    </row>
    <row r="149" spans="1:12" ht="15" hidden="1" customHeight="1" x14ac:dyDescent="0.35">
      <c r="A149" s="6" t="str">
        <f>MID(C149,2,FIND(")",C149,1)-5)</f>
        <v xml:space="preserve">4.11.35.1 </v>
      </c>
      <c r="B149" t="str">
        <f>IF(ISNUMBER(FIND("[PASSED]",C149,1)),"PASSED","FAILED")</f>
        <v>PASSED</v>
      </c>
      <c r="C149" s="19" t="s">
        <v>387</v>
      </c>
      <c r="D149" s="6"/>
      <c r="G149" s="13">
        <v>4</v>
      </c>
      <c r="H149" s="13">
        <v>11</v>
      </c>
      <c r="I149" s="13">
        <v>35</v>
      </c>
      <c r="J149" s="13">
        <v>1</v>
      </c>
    </row>
    <row r="150" spans="1:12" ht="15" hidden="1" customHeight="1" x14ac:dyDescent="0.35">
      <c r="A150" s="6" t="str">
        <f>MID(C150,2,FIND(")",C150,1)-5)</f>
        <v xml:space="preserve">4.11.36.3.2 </v>
      </c>
      <c r="B150" t="str">
        <f>IF(ISNUMBER(FIND("[PASSED]",C150,1)),"PASSED","FAILED")</f>
        <v>PASSED</v>
      </c>
      <c r="C150" s="19" t="s">
        <v>179</v>
      </c>
      <c r="D150" s="6"/>
      <c r="G150" s="13">
        <v>4</v>
      </c>
      <c r="H150" s="13">
        <v>11</v>
      </c>
      <c r="I150" s="13">
        <v>36</v>
      </c>
      <c r="J150" s="13">
        <v>3</v>
      </c>
      <c r="K150" s="13">
        <v>2</v>
      </c>
    </row>
    <row r="151" spans="1:12" ht="15" hidden="1" customHeight="1" x14ac:dyDescent="0.35">
      <c r="A151" s="6" t="str">
        <f>MID(C151,2,FIND(")",C151,1)-5)</f>
        <v xml:space="preserve">4.11.36.4.2.1 </v>
      </c>
      <c r="B151" t="str">
        <f>IF(ISNUMBER(FIND("[PASSED]",C151,1)),"PASSED","FAILED")</f>
        <v>PASSED</v>
      </c>
      <c r="C151" s="19" t="s">
        <v>412</v>
      </c>
      <c r="D151" s="6"/>
      <c r="G151" s="13">
        <v>4</v>
      </c>
      <c r="H151" s="13">
        <v>11</v>
      </c>
      <c r="I151" s="13">
        <v>36</v>
      </c>
      <c r="J151" s="13">
        <v>4</v>
      </c>
      <c r="K151" s="13">
        <v>2</v>
      </c>
      <c r="L151" s="13">
        <v>1</v>
      </c>
    </row>
    <row r="152" spans="1:12" ht="15" hidden="1" customHeight="1" x14ac:dyDescent="0.35">
      <c r="A152" s="6" t="str">
        <f>MID(C152,2,FIND(")",C152,1)-5)</f>
        <v xml:space="preserve">4.11.36.4.3.1 </v>
      </c>
      <c r="B152" t="str">
        <f>IF(ISNUMBER(FIND("[PASSED]",C152,1)),"PASSED","FAILED")</f>
        <v>PASSED</v>
      </c>
      <c r="C152" s="19" t="s">
        <v>337</v>
      </c>
      <c r="D152" s="6"/>
      <c r="G152" s="13">
        <v>4</v>
      </c>
      <c r="H152" s="13">
        <v>11</v>
      </c>
      <c r="I152" s="13">
        <v>36</v>
      </c>
      <c r="J152" s="13">
        <v>4</v>
      </c>
      <c r="K152" s="13">
        <v>3</v>
      </c>
      <c r="L152" s="13">
        <v>1</v>
      </c>
    </row>
    <row r="153" spans="1:12" ht="15" hidden="1" customHeight="1" x14ac:dyDescent="0.35">
      <c r="A153" s="6" t="str">
        <f>MID(C153,2,FIND(")",C153,1)-5)</f>
        <v xml:space="preserve">4.11.36.4.3.2 </v>
      </c>
      <c r="B153" t="str">
        <f>IF(ISNUMBER(FIND("[PASSED]",C153,1)),"PASSED","FAILED")</f>
        <v>PASSED</v>
      </c>
      <c r="C153" s="19" t="s">
        <v>15</v>
      </c>
      <c r="D153" s="6"/>
      <c r="G153" s="13">
        <v>4</v>
      </c>
      <c r="H153" s="13">
        <v>11</v>
      </c>
      <c r="I153" s="13">
        <v>36</v>
      </c>
      <c r="J153" s="13">
        <v>4</v>
      </c>
      <c r="K153" s="13">
        <v>3</v>
      </c>
      <c r="L153" s="13">
        <v>2</v>
      </c>
    </row>
    <row r="154" spans="1:12" ht="15" hidden="1" customHeight="1" x14ac:dyDescent="0.35">
      <c r="A154" s="6" t="str">
        <f>MID(C154,2,FIND(")",C154,1)-5)</f>
        <v xml:space="preserve">4.11.36.4.3.3 </v>
      </c>
      <c r="B154" t="str">
        <f>IF(ISNUMBER(FIND("[PASSED]",C154,1)),"PASSED","FAILED")</f>
        <v>PASSED</v>
      </c>
      <c r="C154" s="19" t="s">
        <v>356</v>
      </c>
      <c r="D154" s="6"/>
      <c r="G154" s="13">
        <v>4</v>
      </c>
      <c r="H154" s="13">
        <v>11</v>
      </c>
      <c r="I154" s="13">
        <v>36</v>
      </c>
      <c r="J154" s="13">
        <v>4</v>
      </c>
      <c r="K154" s="13">
        <v>3</v>
      </c>
      <c r="L154" s="13">
        <v>3</v>
      </c>
    </row>
    <row r="155" spans="1:12" ht="15" hidden="1" customHeight="1" x14ac:dyDescent="0.35">
      <c r="A155" s="6" t="str">
        <f>MID(C155,2,FIND(")",C155,1)-5)</f>
        <v xml:space="preserve">4.11.36.4.3.4 </v>
      </c>
      <c r="B155" t="str">
        <f>IF(ISNUMBER(FIND("[PASSED]",C155,1)),"PASSED","FAILED")</f>
        <v>PASSED</v>
      </c>
      <c r="C155" s="19" t="s">
        <v>384</v>
      </c>
      <c r="D155" s="6"/>
      <c r="G155" s="13">
        <v>4</v>
      </c>
      <c r="H155" s="13">
        <v>11</v>
      </c>
      <c r="I155" s="13">
        <v>36</v>
      </c>
      <c r="J155" s="13">
        <v>4</v>
      </c>
      <c r="K155" s="13">
        <v>3</v>
      </c>
      <c r="L155" s="13">
        <v>4</v>
      </c>
    </row>
    <row r="156" spans="1:12" ht="15" hidden="1" customHeight="1" x14ac:dyDescent="0.35">
      <c r="A156" s="6" t="str">
        <f>MID(C156,2,FIND(")",C156,1)-5)</f>
        <v xml:space="preserve">4.11.36.4.3.5 </v>
      </c>
      <c r="B156" t="str">
        <f>IF(ISNUMBER(FIND("[PASSED]",C156,1)),"PASSED","FAILED")</f>
        <v>PASSED</v>
      </c>
      <c r="C156" s="19" t="s">
        <v>501</v>
      </c>
      <c r="G156" s="13">
        <v>4</v>
      </c>
      <c r="H156" s="13">
        <v>11</v>
      </c>
      <c r="I156" s="13">
        <v>36</v>
      </c>
      <c r="J156" s="13">
        <v>4</v>
      </c>
      <c r="K156" s="13">
        <v>3</v>
      </c>
      <c r="L156" s="13">
        <v>5</v>
      </c>
    </row>
    <row r="157" spans="1:12" ht="15" hidden="1" customHeight="1" x14ac:dyDescent="0.35">
      <c r="A157" s="6" t="str">
        <f>MID(C157,2,FIND(")",C157,1)-5)</f>
        <v xml:space="preserve">4.11.36.4.9.1 </v>
      </c>
      <c r="B157" t="str">
        <f>IF(ISNUMBER(FIND("[PASSED]",C157,1)),"PASSED","FAILED")</f>
        <v>PASSED</v>
      </c>
      <c r="C157" s="19" t="s">
        <v>50</v>
      </c>
      <c r="D157" s="6"/>
      <c r="G157" s="13">
        <v>4</v>
      </c>
      <c r="H157" s="13">
        <v>11</v>
      </c>
      <c r="I157" s="13">
        <v>36</v>
      </c>
      <c r="J157" s="13">
        <v>4</v>
      </c>
      <c r="K157" s="13">
        <v>9</v>
      </c>
      <c r="L157" s="13">
        <v>1</v>
      </c>
    </row>
    <row r="158" spans="1:12" ht="15" hidden="1" customHeight="1" x14ac:dyDescent="0.35">
      <c r="A158" s="6" t="str">
        <f>MID(C158,2,FIND(")",C158,1)-5)</f>
        <v xml:space="preserve">4.11.36.4.9.2 </v>
      </c>
      <c r="B158" t="str">
        <f>IF(ISNUMBER(FIND("[PASSED]",C158,1)),"PASSED","FAILED")</f>
        <v>PASSED</v>
      </c>
      <c r="C158" s="19" t="s">
        <v>240</v>
      </c>
      <c r="D158" s="6"/>
      <c r="G158" s="13">
        <v>4</v>
      </c>
      <c r="H158" s="13">
        <v>11</v>
      </c>
      <c r="I158" s="13">
        <v>36</v>
      </c>
      <c r="J158" s="13">
        <v>4</v>
      </c>
      <c r="K158" s="13">
        <v>9</v>
      </c>
      <c r="L158" s="13">
        <v>2</v>
      </c>
    </row>
    <row r="159" spans="1:12" ht="15" hidden="1" customHeight="1" x14ac:dyDescent="0.35">
      <c r="A159" s="6" t="str">
        <f>MID(C159,2,FIND(")",C159,1)-5)</f>
        <v xml:space="preserve">4.11.36.4.9.3 </v>
      </c>
      <c r="B159" t="str">
        <f>IF(ISNUMBER(FIND("[PASSED]",C159,1)),"PASSED","FAILED")</f>
        <v>PASSED</v>
      </c>
      <c r="C159" s="19" t="s">
        <v>111</v>
      </c>
      <c r="D159" s="6"/>
      <c r="G159" s="13">
        <v>4</v>
      </c>
      <c r="H159" s="13">
        <v>11</v>
      </c>
      <c r="I159" s="13">
        <v>36</v>
      </c>
      <c r="J159" s="13">
        <v>4</v>
      </c>
      <c r="K159" s="13">
        <v>9</v>
      </c>
      <c r="L159" s="13">
        <v>3</v>
      </c>
    </row>
    <row r="160" spans="1:12" ht="15" hidden="1" customHeight="1" x14ac:dyDescent="0.35">
      <c r="A160" s="6" t="str">
        <f>MID(C160,2,FIND(")",C160,1)-5)</f>
        <v xml:space="preserve">4.11.36.4.9.4 </v>
      </c>
      <c r="B160" t="str">
        <f>IF(ISNUMBER(FIND("[PASSED]",C160,1)),"PASSED","FAILED")</f>
        <v>PASSED</v>
      </c>
      <c r="C160" s="19" t="s">
        <v>441</v>
      </c>
      <c r="D160" s="6"/>
      <c r="G160" s="13">
        <v>4</v>
      </c>
      <c r="H160" s="13">
        <v>11</v>
      </c>
      <c r="I160" s="13">
        <v>36</v>
      </c>
      <c r="J160" s="13">
        <v>4</v>
      </c>
      <c r="K160" s="13">
        <v>9</v>
      </c>
      <c r="L160" s="13">
        <v>4</v>
      </c>
    </row>
    <row r="161" spans="1:12" ht="15" hidden="1" customHeight="1" x14ac:dyDescent="0.35">
      <c r="A161" s="6" t="str">
        <f>MID(C161,2,FIND(")",C161,1)-5)</f>
        <v xml:space="preserve">4.11.36.4.9.5 </v>
      </c>
      <c r="B161" t="str">
        <f>IF(ISNUMBER(FIND("[PASSED]",C161,1)),"PASSED","FAILED")</f>
        <v>PASSED</v>
      </c>
      <c r="C161" s="19" t="s">
        <v>74</v>
      </c>
      <c r="G161" s="13">
        <v>4</v>
      </c>
      <c r="H161" s="13">
        <v>11</v>
      </c>
      <c r="I161" s="13">
        <v>36</v>
      </c>
      <c r="J161" s="13">
        <v>4</v>
      </c>
      <c r="K161" s="13">
        <v>9</v>
      </c>
      <c r="L161" s="13">
        <v>5</v>
      </c>
    </row>
    <row r="162" spans="1:12" ht="15" hidden="1" customHeight="1" x14ac:dyDescent="0.35">
      <c r="A162" s="6" t="str">
        <f>MID(C162,2,FIND(")",C162,1)-5)</f>
        <v xml:space="preserve">4.11.36.4.10.1 </v>
      </c>
      <c r="B162" t="str">
        <f>IF(ISNUMBER(FIND("[PASSED]",C162,1)),"PASSED","FAILED")</f>
        <v>PASSED</v>
      </c>
      <c r="C162" s="19" t="s">
        <v>428</v>
      </c>
      <c r="D162" s="6"/>
      <c r="G162" s="13">
        <v>4</v>
      </c>
      <c r="H162" s="13">
        <v>11</v>
      </c>
      <c r="I162" s="13">
        <v>36</v>
      </c>
      <c r="J162" s="13">
        <v>4</v>
      </c>
      <c r="K162" s="13">
        <v>10</v>
      </c>
      <c r="L162" s="13">
        <v>1</v>
      </c>
    </row>
    <row r="163" spans="1:12" ht="15" hidden="1" customHeight="1" x14ac:dyDescent="0.35">
      <c r="A163" s="6" t="str">
        <f>MID(C163,2,FIND(")",C163,1)-5)</f>
        <v xml:space="preserve">4.11.36.4.10.2 </v>
      </c>
      <c r="B163" t="str">
        <f>IF(ISNUMBER(FIND("[PASSED]",C163,1)),"PASSED","FAILED")</f>
        <v>PASSED</v>
      </c>
      <c r="C163" s="19" t="s">
        <v>400</v>
      </c>
      <c r="D163" s="6"/>
      <c r="G163" s="13">
        <v>4</v>
      </c>
      <c r="H163" s="13">
        <v>11</v>
      </c>
      <c r="I163" s="13">
        <v>36</v>
      </c>
      <c r="J163" s="13">
        <v>4</v>
      </c>
      <c r="K163" s="13">
        <v>10</v>
      </c>
      <c r="L163" s="13">
        <v>2</v>
      </c>
    </row>
    <row r="164" spans="1:12" ht="15" hidden="1" customHeight="1" x14ac:dyDescent="0.35">
      <c r="A164" s="6" t="str">
        <f>MID(C164,2,FIND(")",C164,1)-5)</f>
        <v xml:space="preserve">4.11.36.4.11.1 </v>
      </c>
      <c r="B164" t="str">
        <f>IF(ISNUMBER(FIND("[PASSED]",C164,1)),"PASSED","FAILED")</f>
        <v>PASSED</v>
      </c>
      <c r="C164" s="19" t="s">
        <v>280</v>
      </c>
      <c r="D164" s="6"/>
      <c r="G164" s="13">
        <v>4</v>
      </c>
      <c r="H164" s="13">
        <v>11</v>
      </c>
      <c r="I164" s="13">
        <v>36</v>
      </c>
      <c r="J164" s="13">
        <v>4</v>
      </c>
      <c r="K164" s="13">
        <v>11</v>
      </c>
      <c r="L164" s="13">
        <v>1</v>
      </c>
    </row>
    <row r="165" spans="1:12" ht="15" hidden="1" customHeight="1" x14ac:dyDescent="0.35">
      <c r="A165" s="6" t="str">
        <f>MID(C165,2,FIND(")",C165,1)-5)</f>
        <v xml:space="preserve">4.11.37.1 </v>
      </c>
      <c r="B165" t="str">
        <f>IF(ISNUMBER(FIND("[PASSED]",C165,1)),"PASSED","FAILED")</f>
        <v>PASSED</v>
      </c>
      <c r="C165" s="19" t="s">
        <v>277</v>
      </c>
      <c r="D165" s="6"/>
      <c r="G165" s="13">
        <v>4</v>
      </c>
      <c r="H165" s="13">
        <v>11</v>
      </c>
      <c r="I165" s="13">
        <v>37</v>
      </c>
      <c r="J165" s="13">
        <v>1</v>
      </c>
    </row>
    <row r="166" spans="1:12" ht="15" hidden="1" customHeight="1" x14ac:dyDescent="0.35">
      <c r="A166" s="6" t="str">
        <f>MID(C166,2,FIND(")",C166,1)-5)</f>
        <v xml:space="preserve">4.11.42.1 </v>
      </c>
      <c r="B166" t="str">
        <f>IF(ISNUMBER(FIND("[PASSED]",C166,1)),"PASSED","FAILED")</f>
        <v>PASSED</v>
      </c>
      <c r="C166" s="19" t="s">
        <v>224</v>
      </c>
      <c r="D166" s="6"/>
      <c r="G166" s="13">
        <v>4</v>
      </c>
      <c r="H166" s="13">
        <v>11</v>
      </c>
      <c r="I166" s="13">
        <v>42</v>
      </c>
      <c r="J166" s="13">
        <v>1</v>
      </c>
    </row>
    <row r="167" spans="1:12" ht="15" customHeight="1" x14ac:dyDescent="0.35">
      <c r="A167" s="6" t="str">
        <f>MID(C167,2,FIND(")",C167,1)-5)</f>
        <v xml:space="preserve">4.11.42.2 </v>
      </c>
      <c r="B167" t="str">
        <f>IF(ISNUMBER(FIND("[PASSED]",C167,1)),"PASSED","FAILED")</f>
        <v>FAILED</v>
      </c>
      <c r="C167" s="19" t="s">
        <v>460</v>
      </c>
      <c r="D167" s="13" t="s">
        <v>475</v>
      </c>
      <c r="E167" s="6" t="s">
        <v>330</v>
      </c>
      <c r="F167" s="6" t="s">
        <v>474</v>
      </c>
      <c r="G167" s="13">
        <v>4</v>
      </c>
      <c r="H167" s="13">
        <v>11</v>
      </c>
      <c r="I167" s="13">
        <v>42</v>
      </c>
      <c r="J167" s="13">
        <v>2</v>
      </c>
    </row>
    <row r="168" spans="1:12" ht="15" hidden="1" customHeight="1" x14ac:dyDescent="0.35">
      <c r="A168" s="6" t="str">
        <f>MID(C168,2,FIND(")",C168,1)-5)</f>
        <v xml:space="preserve">4.11.49.1 </v>
      </c>
      <c r="B168" t="str">
        <f>IF(ISNUMBER(FIND("[PASSED]",C168,1)),"PASSED","FAILED")</f>
        <v>PASSED</v>
      </c>
      <c r="C168" s="19" t="s">
        <v>430</v>
      </c>
      <c r="D168" s="6"/>
      <c r="G168" s="13">
        <v>4</v>
      </c>
      <c r="H168" s="13">
        <v>11</v>
      </c>
      <c r="I168" s="13">
        <v>49</v>
      </c>
      <c r="J168" s="13">
        <v>1</v>
      </c>
    </row>
    <row r="169" spans="1:12" ht="15" hidden="1" customHeight="1" x14ac:dyDescent="0.35">
      <c r="A169" s="6" t="str">
        <f>MID(C169,2,FIND(")",C169,1)-5)</f>
        <v xml:space="preserve">4.11.50.1 </v>
      </c>
      <c r="B169" t="str">
        <f>IF(ISNUMBER(FIND("[PASSED]",C169,1)),"PASSED","FAILED")</f>
        <v>PASSED</v>
      </c>
      <c r="C169" s="19" t="s">
        <v>38</v>
      </c>
      <c r="D169" s="6"/>
      <c r="G169" s="13">
        <v>4</v>
      </c>
      <c r="H169" s="13">
        <v>11</v>
      </c>
      <c r="I169" s="13">
        <v>50</v>
      </c>
      <c r="J169" s="13">
        <v>1</v>
      </c>
    </row>
    <row r="170" spans="1:12" ht="15" hidden="1" customHeight="1" x14ac:dyDescent="0.35">
      <c r="A170" s="6" t="str">
        <f>MID(C170,2,FIND(")",C170,1)-5)</f>
        <v xml:space="preserve">4.11.50.2 </v>
      </c>
      <c r="B170" t="str">
        <f>IF(ISNUMBER(FIND("[PASSED]",C170,1)),"PASSED","FAILED")</f>
        <v>PASSED</v>
      </c>
      <c r="C170" s="19" t="s">
        <v>309</v>
      </c>
      <c r="D170" s="6"/>
      <c r="G170" s="13">
        <v>4</v>
      </c>
      <c r="H170" s="13">
        <v>11</v>
      </c>
      <c r="I170" s="13">
        <v>50</v>
      </c>
      <c r="J170" s="13">
        <v>2</v>
      </c>
    </row>
    <row r="171" spans="1:12" ht="15" hidden="1" customHeight="1" x14ac:dyDescent="0.35">
      <c r="A171" s="6" t="str">
        <f>MID(C171,2,FIND(")",C171,1)-5)</f>
        <v xml:space="preserve">4.11.52.2.1 </v>
      </c>
      <c r="B171" t="str">
        <f>IF(ISNUMBER(FIND("[PASSED]",C171,1)),"PASSED","FAILED")</f>
        <v>PASSED</v>
      </c>
      <c r="C171" s="19" t="s">
        <v>385</v>
      </c>
      <c r="D171" s="6"/>
      <c r="G171" s="13">
        <v>4</v>
      </c>
      <c r="H171" s="13">
        <v>11</v>
      </c>
      <c r="I171" s="13">
        <v>52</v>
      </c>
      <c r="J171" s="13">
        <v>2</v>
      </c>
      <c r="K171" s="13">
        <v>1</v>
      </c>
    </row>
    <row r="172" spans="1:12" ht="15" hidden="1" customHeight="1" x14ac:dyDescent="0.35">
      <c r="A172" s="6" t="str">
        <f>MID(C172,2,FIND(")",C172,1)-5)</f>
        <v xml:space="preserve">4.11.54.1 </v>
      </c>
      <c r="B172" t="str">
        <f>IF(ISNUMBER(FIND("[PASSED]",C172,1)),"PASSED","FAILED")</f>
        <v>PASSED</v>
      </c>
      <c r="C172" s="19" t="s">
        <v>420</v>
      </c>
      <c r="D172" s="6"/>
      <c r="G172" s="13">
        <v>4</v>
      </c>
      <c r="H172" s="13">
        <v>11</v>
      </c>
      <c r="I172" s="13">
        <v>54</v>
      </c>
      <c r="J172" s="13">
        <v>1</v>
      </c>
    </row>
    <row r="173" spans="1:12" ht="15" hidden="1" customHeight="1" x14ac:dyDescent="0.35">
      <c r="A173" s="6" t="str">
        <f>MID(C173,2,FIND(")",C173,1)-5)</f>
        <v xml:space="preserve">4.11.54.2 </v>
      </c>
      <c r="B173" t="str">
        <f>IF(ISNUMBER(FIND("[PASSED]",C173,1)),"PASSED","FAILED")</f>
        <v>PASSED</v>
      </c>
      <c r="C173" s="19" t="s">
        <v>340</v>
      </c>
      <c r="D173" s="6"/>
      <c r="G173" s="13">
        <v>4</v>
      </c>
      <c r="H173" s="13">
        <v>11</v>
      </c>
      <c r="I173" s="13">
        <v>54</v>
      </c>
      <c r="J173" s="13">
        <v>2</v>
      </c>
    </row>
    <row r="174" spans="1:12" ht="15" hidden="1" customHeight="1" x14ac:dyDescent="0.35">
      <c r="A174" s="6" t="str">
        <f>MID(C174,2,FIND(")",C174,1)-5)</f>
        <v xml:space="preserve">4.11.55.1.1 </v>
      </c>
      <c r="B174" t="str">
        <f>IF(ISNUMBER(FIND("[PASSED]",C174,1)),"PASSED","FAILED")</f>
        <v>PASSED</v>
      </c>
      <c r="C174" s="19" t="s">
        <v>67</v>
      </c>
      <c r="D174" s="6"/>
      <c r="G174" s="13">
        <v>4</v>
      </c>
      <c r="H174" s="13">
        <v>11</v>
      </c>
      <c r="I174" s="13">
        <v>55</v>
      </c>
      <c r="J174" s="13">
        <v>1</v>
      </c>
      <c r="K174" s="13">
        <v>1</v>
      </c>
    </row>
    <row r="175" spans="1:12" ht="15" hidden="1" customHeight="1" x14ac:dyDescent="0.35">
      <c r="A175" s="6" t="str">
        <f>MID(C175,2,FIND(")",C175,1)-5)</f>
        <v xml:space="preserve">4.11.55.1.2 </v>
      </c>
      <c r="B175" t="str">
        <f>IF(ISNUMBER(FIND("[PASSED]",C175,1)),"PASSED","FAILED")</f>
        <v>PASSED</v>
      </c>
      <c r="C175" s="19" t="s">
        <v>27</v>
      </c>
      <c r="D175" s="6"/>
      <c r="G175" s="13">
        <v>4</v>
      </c>
      <c r="H175" s="13">
        <v>11</v>
      </c>
      <c r="I175" s="13">
        <v>55</v>
      </c>
      <c r="J175" s="13">
        <v>1</v>
      </c>
      <c r="K175" s="13">
        <v>2</v>
      </c>
    </row>
    <row r="176" spans="1:12" ht="15" hidden="1" customHeight="1" x14ac:dyDescent="0.35">
      <c r="A176" s="6" t="str">
        <f>MID(C176,2,FIND(")",C176,1)-5)</f>
        <v xml:space="preserve">4.11.55.1.3 </v>
      </c>
      <c r="B176" t="str">
        <f>IF(ISNUMBER(FIND("[PASSED]",C176,1)),"PASSED","FAILED")</f>
        <v>PASSED</v>
      </c>
      <c r="C176" s="19" t="s">
        <v>282</v>
      </c>
      <c r="D176" s="6"/>
      <c r="G176" s="13">
        <v>4</v>
      </c>
      <c r="H176" s="13">
        <v>11</v>
      </c>
      <c r="I176" s="13">
        <v>55</v>
      </c>
      <c r="J176" s="13">
        <v>1</v>
      </c>
      <c r="K176" s="13">
        <v>3</v>
      </c>
    </row>
    <row r="177" spans="1:11" ht="15" hidden="1" customHeight="1" x14ac:dyDescent="0.35">
      <c r="A177" s="6" t="str">
        <f>MID(C177,2,FIND(")",C177,1)-5)</f>
        <v xml:space="preserve">4.11.55.2.1 </v>
      </c>
      <c r="B177" t="str">
        <f>IF(ISNUMBER(FIND("[PASSED]",C177,1)),"PASSED","FAILED")</f>
        <v>PASSED</v>
      </c>
      <c r="C177" s="19" t="s">
        <v>194</v>
      </c>
      <c r="D177" s="6"/>
      <c r="G177" s="13">
        <v>4</v>
      </c>
      <c r="H177" s="13">
        <v>11</v>
      </c>
      <c r="I177" s="13">
        <v>55</v>
      </c>
      <c r="J177" s="13">
        <v>2</v>
      </c>
      <c r="K177" s="13">
        <v>1</v>
      </c>
    </row>
    <row r="178" spans="1:11" ht="15" hidden="1" customHeight="1" x14ac:dyDescent="0.35">
      <c r="A178" s="6" t="str">
        <f>MID(C178,2,FIND(")",C178,1)-5)</f>
        <v xml:space="preserve">4.11.55.2.2 </v>
      </c>
      <c r="B178" t="str">
        <f>IF(ISNUMBER(FIND("[PASSED]",C178,1)),"PASSED","FAILED")</f>
        <v>PASSED</v>
      </c>
      <c r="C178" s="19" t="s">
        <v>448</v>
      </c>
      <c r="G178" s="13">
        <v>4</v>
      </c>
      <c r="H178" s="13">
        <v>11</v>
      </c>
      <c r="I178" s="13">
        <v>55</v>
      </c>
      <c r="J178" s="13">
        <v>2</v>
      </c>
      <c r="K178" s="13">
        <v>2</v>
      </c>
    </row>
    <row r="179" spans="1:11" ht="15" hidden="1" customHeight="1" x14ac:dyDescent="0.35">
      <c r="A179" s="6" t="str">
        <f>MID(C179,2,FIND(")",C179,1)-5)</f>
        <v xml:space="preserve">4.11.55.2.3 </v>
      </c>
      <c r="B179" t="str">
        <f>IF(ISNUMBER(FIND("[PASSED]",C179,1)),"PASSED","FAILED")</f>
        <v>PASSED</v>
      </c>
      <c r="C179" s="19" t="s">
        <v>62</v>
      </c>
      <c r="D179" s="6"/>
      <c r="G179" s="13">
        <v>4</v>
      </c>
      <c r="H179" s="13">
        <v>11</v>
      </c>
      <c r="I179" s="13">
        <v>55</v>
      </c>
      <c r="J179" s="13">
        <v>2</v>
      </c>
      <c r="K179" s="13">
        <v>3</v>
      </c>
    </row>
    <row r="180" spans="1:11" ht="15" hidden="1" customHeight="1" x14ac:dyDescent="0.35">
      <c r="A180" s="6" t="str">
        <f>MID(C180,2,FIND(")",C180,1)-5)</f>
        <v xml:space="preserve">4.11.55.2.4 </v>
      </c>
      <c r="B180" t="str">
        <f>IF(ISNUMBER(FIND("[PASSED]",C180,1)),"PASSED","FAILED")</f>
        <v>PASSED</v>
      </c>
      <c r="C180" s="19" t="s">
        <v>45</v>
      </c>
      <c r="D180" s="6"/>
      <c r="G180" s="13">
        <v>4</v>
      </c>
      <c r="H180" s="13">
        <v>11</v>
      </c>
      <c r="I180" s="13">
        <v>55</v>
      </c>
      <c r="J180" s="13">
        <v>2</v>
      </c>
      <c r="K180" s="13">
        <v>4</v>
      </c>
    </row>
    <row r="181" spans="1:11" ht="15" hidden="1" customHeight="1" x14ac:dyDescent="0.35">
      <c r="A181" s="6" t="str">
        <f>MID(C181,2,FIND(")",C181,1)-5)</f>
        <v xml:space="preserve">4.11.56.1 </v>
      </c>
      <c r="B181" t="str">
        <f>IF(ISNUMBER(FIND("[PASSED]",C181,1)),"PASSED","FAILED")</f>
        <v>PASSED</v>
      </c>
      <c r="C181" s="19" t="s">
        <v>433</v>
      </c>
      <c r="D181" s="6"/>
      <c r="G181" s="13">
        <v>4</v>
      </c>
      <c r="H181" s="13">
        <v>11</v>
      </c>
      <c r="I181" s="13">
        <v>56</v>
      </c>
      <c r="J181" s="13">
        <v>1</v>
      </c>
    </row>
    <row r="182" spans="1:11" ht="15" hidden="1" customHeight="1" x14ac:dyDescent="0.35">
      <c r="A182" s="6" t="str">
        <f>MID(C182,2,FIND(")",C182,1)-5)</f>
        <v xml:space="preserve">6.1 </v>
      </c>
      <c r="B182" t="str">
        <f>IF(ISNUMBER(FIND("[PASSED]",C182,1)),"PASSED","FAILED")</f>
        <v>PASSED</v>
      </c>
      <c r="C182" s="19" t="s">
        <v>173</v>
      </c>
      <c r="D182" s="6"/>
      <c r="G182" s="13">
        <v>6</v>
      </c>
      <c r="H182" s="13">
        <v>1</v>
      </c>
    </row>
    <row r="183" spans="1:11" ht="15" hidden="1" customHeight="1" x14ac:dyDescent="0.35">
      <c r="A183" s="6" t="str">
        <f>MID(C183,2,FIND(")",C183,1)-5)</f>
        <v xml:space="preserve">6.2 </v>
      </c>
      <c r="B183" t="str">
        <f>IF(ISNUMBER(FIND("[PASSED]",C183,1)),"PASSED","FAILED")</f>
        <v>PASSED</v>
      </c>
      <c r="C183" s="19" t="s">
        <v>301</v>
      </c>
      <c r="D183" s="6"/>
      <c r="G183" s="13">
        <v>6</v>
      </c>
      <c r="H183" s="13">
        <v>2</v>
      </c>
    </row>
    <row r="184" spans="1:11" ht="15" hidden="1" customHeight="1" x14ac:dyDescent="0.35">
      <c r="A184" s="6" t="str">
        <f>MID(C184,2,FIND(")",C184,1)-5)</f>
        <v xml:space="preserve">6.3 </v>
      </c>
      <c r="B184" t="str">
        <f>IF(ISNUMBER(FIND("[PASSED]",C184,1)),"PASSED","FAILED")</f>
        <v>PASSED</v>
      </c>
      <c r="C184" s="19" t="s">
        <v>267</v>
      </c>
      <c r="D184" s="6"/>
      <c r="G184" s="13">
        <v>6</v>
      </c>
      <c r="H184" s="13">
        <v>3</v>
      </c>
    </row>
    <row r="185" spans="1:11" ht="15" hidden="1" customHeight="1" x14ac:dyDescent="0.35">
      <c r="A185" s="6" t="str">
        <f>MID(C185,2,FIND(")",C185,1)-5)</f>
        <v xml:space="preserve">6.4 </v>
      </c>
      <c r="B185" t="str">
        <f>IF(ISNUMBER(FIND("[PASSED]",C185,1)),"PASSED","FAILED")</f>
        <v>PASSED</v>
      </c>
      <c r="C185" s="19" t="s">
        <v>42</v>
      </c>
      <c r="D185" s="6"/>
      <c r="G185" s="13">
        <v>6</v>
      </c>
      <c r="H185" s="13">
        <v>4</v>
      </c>
    </row>
    <row r="186" spans="1:11" ht="15" hidden="1" customHeight="1" x14ac:dyDescent="0.35">
      <c r="A186" s="6" t="str">
        <f>MID(C186,2,FIND(")",C186,1)-5)</f>
        <v xml:space="preserve">6.5 </v>
      </c>
      <c r="B186" t="str">
        <f>IF(ISNUMBER(FIND("[PASSED]",C186,1)),"PASSED","FAILED")</f>
        <v>PASSED</v>
      </c>
      <c r="C186" s="19" t="s">
        <v>46</v>
      </c>
      <c r="D186" s="6"/>
      <c r="G186" s="13">
        <v>6</v>
      </c>
      <c r="H186" s="13">
        <v>5</v>
      </c>
    </row>
    <row r="187" spans="1:11" ht="15" hidden="1" customHeight="1" x14ac:dyDescent="0.35">
      <c r="A187" s="6" t="str">
        <f>MID(C187,2,FIND(")",C187,1)-5)</f>
        <v xml:space="preserve">6.6 </v>
      </c>
      <c r="B187" t="str">
        <f>IF(ISNUMBER(FIND("[PASSED]",C187,1)),"PASSED","FAILED")</f>
        <v>PASSED</v>
      </c>
      <c r="C187" s="19" t="s">
        <v>169</v>
      </c>
      <c r="G187" s="13">
        <v>6</v>
      </c>
      <c r="H187" s="13">
        <v>6</v>
      </c>
    </row>
    <row r="188" spans="1:11" ht="15" hidden="1" customHeight="1" x14ac:dyDescent="0.35">
      <c r="A188" s="6" t="str">
        <f>MID(C188,2,FIND(")",C188,1)-5)</f>
        <v xml:space="preserve">6.7 </v>
      </c>
      <c r="B188" t="str">
        <f>IF(ISNUMBER(FIND("[PASSED]",C188,1)),"PASSED","FAILED")</f>
        <v>PASSED</v>
      </c>
      <c r="C188" s="19" t="s">
        <v>152</v>
      </c>
      <c r="D188" s="6"/>
      <c r="G188" s="13">
        <v>6</v>
      </c>
      <c r="H188" s="13">
        <v>7</v>
      </c>
    </row>
    <row r="189" spans="1:11" ht="15" hidden="1" customHeight="1" x14ac:dyDescent="0.35">
      <c r="A189" s="6" t="str">
        <f>MID(C189,2,FIND(")",C189,1)-5)</f>
        <v xml:space="preserve">6.8 </v>
      </c>
      <c r="B189" t="str">
        <f>IF(ISNUMBER(FIND("[PASSED]",C189,1)),"PASSED","FAILED")</f>
        <v>PASSED</v>
      </c>
      <c r="C189" s="19" t="s">
        <v>87</v>
      </c>
      <c r="D189" s="6"/>
      <c r="G189" s="13">
        <v>6</v>
      </c>
      <c r="H189" s="13">
        <v>8</v>
      </c>
    </row>
    <row r="190" spans="1:11" ht="15" hidden="1" customHeight="1" x14ac:dyDescent="0.35">
      <c r="A190" s="6" t="str">
        <f>MID(C190,2,FIND(")",C190,1)-5)</f>
        <v xml:space="preserve">6.9 </v>
      </c>
      <c r="B190" t="str">
        <f>IF(ISNUMBER(FIND("[PASSED]",C190,1)),"PASSED","FAILED")</f>
        <v>PASSED</v>
      </c>
      <c r="C190" s="19" t="s">
        <v>127</v>
      </c>
      <c r="D190" s="6"/>
      <c r="G190" s="13">
        <v>6</v>
      </c>
      <c r="H190" s="13">
        <v>9</v>
      </c>
    </row>
    <row r="191" spans="1:11" ht="15" hidden="1" customHeight="1" x14ac:dyDescent="0.35">
      <c r="A191" s="6" t="str">
        <f>MID(C191,2,FIND(")",C191,1)-5)</f>
        <v xml:space="preserve">6.10 </v>
      </c>
      <c r="B191" t="str">
        <f>IF(ISNUMBER(FIND("[PASSED]",C191,1)),"PASSED","FAILED")</f>
        <v>PASSED</v>
      </c>
      <c r="C191" s="19" t="s">
        <v>161</v>
      </c>
      <c r="D191" s="6"/>
      <c r="G191" s="13">
        <v>6</v>
      </c>
      <c r="H191" s="13">
        <v>10</v>
      </c>
    </row>
    <row r="192" spans="1:11" ht="15" hidden="1" customHeight="1" x14ac:dyDescent="0.35">
      <c r="A192" s="6" t="str">
        <f>MID(C192,2,FIND(")",C192,1)-5)</f>
        <v xml:space="preserve">6.11 </v>
      </c>
      <c r="B192" t="str">
        <f>IF(ISNUMBER(FIND("[PASSED]",C192,1)),"PASSED","FAILED")</f>
        <v>PASSED</v>
      </c>
      <c r="C192" s="19" t="s">
        <v>257</v>
      </c>
      <c r="D192" s="6"/>
      <c r="G192" s="13">
        <v>6</v>
      </c>
      <c r="H192" s="13">
        <v>11</v>
      </c>
    </row>
    <row r="193" spans="1:8" ht="15" hidden="1" customHeight="1" x14ac:dyDescent="0.35">
      <c r="A193" s="6" t="str">
        <f>MID(C193,2,FIND(")",C193,1)-5)</f>
        <v xml:space="preserve">6.12 </v>
      </c>
      <c r="B193" t="str">
        <f>IF(ISNUMBER(FIND("[PASSED]",C193,1)),"PASSED","FAILED")</f>
        <v>PASSED</v>
      </c>
      <c r="C193" s="19" t="s">
        <v>135</v>
      </c>
      <c r="G193" s="13">
        <v>6</v>
      </c>
      <c r="H193" s="13">
        <v>12</v>
      </c>
    </row>
    <row r="194" spans="1:8" ht="15" hidden="1" customHeight="1" x14ac:dyDescent="0.35">
      <c r="A194" s="6" t="str">
        <f>MID(C194,2,FIND(")",C194,1)-5)</f>
        <v xml:space="preserve">6.13 </v>
      </c>
      <c r="B194" t="str">
        <f>IF(ISNUMBER(FIND("[PASSED]",C194,1)),"PASSED","FAILED")</f>
        <v>PASSED</v>
      </c>
      <c r="C194" s="19" t="s">
        <v>28</v>
      </c>
      <c r="D194" s="6"/>
      <c r="G194" s="13">
        <v>6</v>
      </c>
      <c r="H194" s="13">
        <v>13</v>
      </c>
    </row>
    <row r="195" spans="1:8" ht="15" hidden="1" customHeight="1" x14ac:dyDescent="0.35">
      <c r="A195" s="6" t="str">
        <f>MID(C195,2,FIND(")",C195,1)-5)</f>
        <v xml:space="preserve">6.14 </v>
      </c>
      <c r="B195" t="str">
        <f>IF(ISNUMBER(FIND("[PASSED]",C195,1)),"PASSED","FAILED")</f>
        <v>PASSED</v>
      </c>
      <c r="C195" s="19" t="s">
        <v>81</v>
      </c>
      <c r="D195" s="6"/>
      <c r="G195" s="13">
        <v>6</v>
      </c>
      <c r="H195" s="13">
        <v>14</v>
      </c>
    </row>
    <row r="196" spans="1:8" ht="15" hidden="1" customHeight="1" x14ac:dyDescent="0.35">
      <c r="A196" s="6" t="str">
        <f>MID(C196,2,FIND(")",C196,1)-5)</f>
        <v xml:space="preserve">6.15 </v>
      </c>
      <c r="B196" t="str">
        <f>IF(ISNUMBER(FIND("[PASSED]",C196,1)),"PASSED","FAILED")</f>
        <v>PASSED</v>
      </c>
      <c r="C196" s="19" t="s">
        <v>266</v>
      </c>
      <c r="D196" s="6"/>
      <c r="G196" s="13">
        <v>6</v>
      </c>
      <c r="H196" s="13">
        <v>15</v>
      </c>
    </row>
    <row r="197" spans="1:8" ht="15" hidden="1" customHeight="1" x14ac:dyDescent="0.35">
      <c r="A197" s="6" t="str">
        <f>MID(C197,2,FIND(")",C197,1)-5)</f>
        <v xml:space="preserve">6.16 </v>
      </c>
      <c r="B197" t="str">
        <f>IF(ISNUMBER(FIND("[PASSED]",C197,1)),"PASSED","FAILED")</f>
        <v>PASSED</v>
      </c>
      <c r="C197" s="19" t="s">
        <v>96</v>
      </c>
      <c r="D197" s="6"/>
      <c r="G197" s="13">
        <v>6</v>
      </c>
      <c r="H197" s="13">
        <v>16</v>
      </c>
    </row>
    <row r="198" spans="1:8" ht="15" hidden="1" customHeight="1" x14ac:dyDescent="0.35">
      <c r="A198" s="6" t="str">
        <f>MID(C198,2,FIND(")",C198,1)-5)</f>
        <v xml:space="preserve">6.17 </v>
      </c>
      <c r="B198" t="str">
        <f>IF(ISNUMBER(FIND("[PASSED]",C198,1)),"PASSED","FAILED")</f>
        <v>PASSED</v>
      </c>
      <c r="C198" s="19" t="s">
        <v>233</v>
      </c>
      <c r="D198" s="6"/>
      <c r="G198" s="13">
        <v>6</v>
      </c>
      <c r="H198" s="13">
        <v>17</v>
      </c>
    </row>
    <row r="199" spans="1:8" ht="15" hidden="1" customHeight="1" x14ac:dyDescent="0.35">
      <c r="A199" s="6" t="str">
        <f>MID(C199,2,FIND(")",C199,1)-5)</f>
        <v xml:space="preserve">6.18 </v>
      </c>
      <c r="B199" t="str">
        <f>IF(ISNUMBER(FIND("[PASSED]",C199,1)),"PASSED","FAILED")</f>
        <v>PASSED</v>
      </c>
      <c r="C199" s="19" t="s">
        <v>287</v>
      </c>
      <c r="D199" s="6"/>
      <c r="G199" s="13">
        <v>6</v>
      </c>
      <c r="H199" s="13">
        <v>18</v>
      </c>
    </row>
    <row r="200" spans="1:8" ht="15" hidden="1" customHeight="1" x14ac:dyDescent="0.35">
      <c r="A200" s="6" t="str">
        <f>MID(C200,2,FIND(")",C200,1)-5)</f>
        <v xml:space="preserve">6.19 </v>
      </c>
      <c r="B200" t="str">
        <f>IF(ISNUMBER(FIND("[PASSED]",C200,1)),"PASSED","FAILED")</f>
        <v>PASSED</v>
      </c>
      <c r="C200" s="19" t="s">
        <v>143</v>
      </c>
      <c r="D200" s="6"/>
      <c r="G200" s="13">
        <v>6</v>
      </c>
      <c r="H200" s="13">
        <v>19</v>
      </c>
    </row>
    <row r="201" spans="1:8" ht="15" hidden="1" customHeight="1" x14ac:dyDescent="0.35">
      <c r="A201" s="6" t="str">
        <f>MID(C201,2,FIND(")",C201,1)-5)</f>
        <v xml:space="preserve">6.20 </v>
      </c>
      <c r="B201" t="str">
        <f>IF(ISNUMBER(FIND("[PASSED]",C201,1)),"PASSED","FAILED")</f>
        <v>PASSED</v>
      </c>
      <c r="C201" s="19" t="s">
        <v>174</v>
      </c>
      <c r="D201" s="6"/>
      <c r="G201" s="13">
        <v>6</v>
      </c>
      <c r="H201" s="13">
        <v>20</v>
      </c>
    </row>
    <row r="202" spans="1:8" ht="15" hidden="1" customHeight="1" x14ac:dyDescent="0.35">
      <c r="A202" s="6" t="str">
        <f>MID(C202,2,FIND(")",C202,1)-5)</f>
        <v xml:space="preserve">6.21 </v>
      </c>
      <c r="B202" t="str">
        <f>IF(ISNUMBER(FIND("[PASSED]",C202,1)),"PASSED","FAILED")</f>
        <v>PASSED</v>
      </c>
      <c r="C202" s="19" t="s">
        <v>112</v>
      </c>
      <c r="G202" s="13">
        <v>6</v>
      </c>
      <c r="H202" s="13">
        <v>21</v>
      </c>
    </row>
    <row r="203" spans="1:8" ht="15" hidden="1" customHeight="1" x14ac:dyDescent="0.35">
      <c r="A203" s="6" t="str">
        <f>MID(C203,2,FIND(")",C203,1)-5)</f>
        <v xml:space="preserve">6.22 </v>
      </c>
      <c r="B203" t="str">
        <f>IF(ISNUMBER(FIND("[PASSED]",C203,1)),"PASSED","FAILED")</f>
        <v>PASSED</v>
      </c>
      <c r="C203" s="19" t="s">
        <v>298</v>
      </c>
      <c r="D203" s="6"/>
      <c r="G203" s="13">
        <v>6</v>
      </c>
      <c r="H203" s="13">
        <v>22</v>
      </c>
    </row>
    <row r="204" spans="1:8" ht="15" hidden="1" customHeight="1" x14ac:dyDescent="0.35">
      <c r="A204" s="6" t="str">
        <f>MID(C204,2,FIND(")",C204,1)-5)</f>
        <v xml:space="preserve">6.23 </v>
      </c>
      <c r="B204" t="str">
        <f>IF(ISNUMBER(FIND("[PASSED]",C204,1)),"PASSED","FAILED")</f>
        <v>PASSED</v>
      </c>
      <c r="C204" s="19" t="s">
        <v>116</v>
      </c>
      <c r="D204" s="6"/>
      <c r="G204" s="13">
        <v>6</v>
      </c>
      <c r="H204" s="13">
        <v>23</v>
      </c>
    </row>
    <row r="205" spans="1:8" ht="15" hidden="1" customHeight="1" x14ac:dyDescent="0.35">
      <c r="A205" s="6" t="str">
        <f>MID(C205,2,FIND(")",C205,1)-5)</f>
        <v xml:space="preserve">6.24 </v>
      </c>
      <c r="B205" t="str">
        <f>IF(ISNUMBER(FIND("[PASSED]",C205,1)),"PASSED","FAILED")</f>
        <v>PASSED</v>
      </c>
      <c r="C205" s="19" t="s">
        <v>313</v>
      </c>
      <c r="D205" s="6"/>
      <c r="G205" s="13">
        <v>6</v>
      </c>
      <c r="H205" s="13">
        <v>24</v>
      </c>
    </row>
    <row r="206" spans="1:8" ht="15" hidden="1" customHeight="1" x14ac:dyDescent="0.35">
      <c r="A206" s="6" t="str">
        <f>MID(C206,2,FIND(")",C206,1)-5)</f>
        <v xml:space="preserve">6.25 </v>
      </c>
      <c r="B206" t="str">
        <f>IF(ISNUMBER(FIND("[PASSED]",C206,1)),"PASSED","FAILED")</f>
        <v>PASSED</v>
      </c>
      <c r="C206" s="19" t="s">
        <v>156</v>
      </c>
      <c r="D206" s="6"/>
      <c r="G206" s="13">
        <v>6</v>
      </c>
      <c r="H206" s="13">
        <v>25</v>
      </c>
    </row>
    <row r="207" spans="1:8" ht="15" hidden="1" customHeight="1" x14ac:dyDescent="0.35">
      <c r="A207" s="6" t="str">
        <f>MID(C207,2,FIND(")",C207,1)-5)</f>
        <v xml:space="preserve">6.26 </v>
      </c>
      <c r="B207" t="str">
        <f>IF(ISNUMBER(FIND("[PASSED]",C207,1)),"PASSED","FAILED")</f>
        <v>PASSED</v>
      </c>
      <c r="C207" s="19" t="s">
        <v>255</v>
      </c>
      <c r="G207" s="13">
        <v>6</v>
      </c>
      <c r="H207" s="13">
        <v>26</v>
      </c>
    </row>
    <row r="208" spans="1:8" ht="15" hidden="1" customHeight="1" x14ac:dyDescent="0.35">
      <c r="A208" s="6" t="str">
        <f>MID(C208,2,FIND(")",C208,1)-5)</f>
        <v xml:space="preserve">6.27 </v>
      </c>
      <c r="B208" t="str">
        <f>IF(ISNUMBER(FIND("[PASSED]",C208,1)),"PASSED","FAILED")</f>
        <v>PASSED</v>
      </c>
      <c r="C208" s="19" t="s">
        <v>20</v>
      </c>
      <c r="D208" s="6"/>
      <c r="G208" s="13">
        <v>6</v>
      </c>
      <c r="H208" s="13">
        <v>27</v>
      </c>
    </row>
    <row r="209" spans="1:8" ht="15" hidden="1" customHeight="1" x14ac:dyDescent="0.35">
      <c r="A209" s="6" t="str">
        <f>MID(C209,2,FIND(")",C209,1)-5)</f>
        <v xml:space="preserve">8.1 </v>
      </c>
      <c r="B209" t="str">
        <f>IF(ISNUMBER(FIND("[PASSED]",C209,1)),"PASSED","FAILED")</f>
        <v>PASSED</v>
      </c>
      <c r="C209" s="19" t="s">
        <v>376</v>
      </c>
      <c r="D209" s="6"/>
      <c r="G209" s="13">
        <v>8</v>
      </c>
      <c r="H209" s="13">
        <v>1</v>
      </c>
    </row>
    <row r="210" spans="1:8" ht="15" hidden="1" customHeight="1" x14ac:dyDescent="0.35">
      <c r="A210" s="6" t="str">
        <f>MID(C210,2,FIND(")",C210,1)-5)</f>
        <v xml:space="preserve">8.2 </v>
      </c>
      <c r="B210" t="str">
        <f>IF(ISNUMBER(FIND("[PASSED]",C210,1)),"PASSED","FAILED")</f>
        <v>PASSED</v>
      </c>
      <c r="C210" s="19" t="s">
        <v>370</v>
      </c>
      <c r="G210" s="13">
        <v>8</v>
      </c>
      <c r="H210" s="13">
        <v>2</v>
      </c>
    </row>
    <row r="211" spans="1:8" ht="15" hidden="1" customHeight="1" x14ac:dyDescent="0.35">
      <c r="A211" s="6" t="str">
        <f>MID(C211,2,FIND(")",C211,1)-5)</f>
        <v xml:space="preserve">8.3 </v>
      </c>
      <c r="B211" t="str">
        <f>IF(ISNUMBER(FIND("[PASSED]",C211,1)),"PASSED","FAILED")</f>
        <v>PASSED</v>
      </c>
      <c r="C211" s="19" t="s">
        <v>399</v>
      </c>
      <c r="D211" s="6"/>
      <c r="G211" s="13">
        <v>8</v>
      </c>
      <c r="H211" s="13">
        <v>3</v>
      </c>
    </row>
    <row r="212" spans="1:8" ht="15" customHeight="1" x14ac:dyDescent="0.35">
      <c r="A212" s="6" t="str">
        <f>MID(C212,2,FIND(")",C212,1)-5)</f>
        <v xml:space="preserve">12.1 </v>
      </c>
      <c r="B212" t="str">
        <f>IF(ISNUMBER(FIND("[PASSED]",C212,1)),"PASSED","FAILED")</f>
        <v>FAILED</v>
      </c>
      <c r="C212" s="19" t="s">
        <v>459</v>
      </c>
      <c r="D212" s="13" t="s">
        <v>476</v>
      </c>
      <c r="E212" s="6" t="s">
        <v>330</v>
      </c>
      <c r="F212" s="6" t="s">
        <v>474</v>
      </c>
      <c r="G212" s="13">
        <v>12</v>
      </c>
      <c r="H212" s="13">
        <v>1</v>
      </c>
    </row>
    <row r="213" spans="1:8" ht="15" hidden="1" customHeight="1" x14ac:dyDescent="0.35">
      <c r="A213" s="6" t="str">
        <f>MID(C213,2,FIND(")",C213,1)-5)</f>
        <v xml:space="preserve">15.1 </v>
      </c>
      <c r="B213" t="str">
        <f>IF(ISNUMBER(FIND("[PASSED]",C213,1)),"PASSED","FAILED")</f>
        <v>PASSED</v>
      </c>
      <c r="C213" s="19" t="s">
        <v>9</v>
      </c>
      <c r="D213" s="6"/>
      <c r="G213" s="13">
        <v>15</v>
      </c>
      <c r="H213" s="13">
        <v>1</v>
      </c>
    </row>
    <row r="214" spans="1:8" ht="15" hidden="1" customHeight="1" x14ac:dyDescent="0.35">
      <c r="A214" s="6" t="str">
        <f>MID(C214,2,FIND(")",C214,1)-5)</f>
        <v xml:space="preserve">15.2 </v>
      </c>
      <c r="B214" t="str">
        <f>IF(ISNUMBER(FIND("[PASSED]",C214,1)),"PASSED","FAILED")</f>
        <v>PASSED</v>
      </c>
      <c r="C214" s="19" t="s">
        <v>493</v>
      </c>
      <c r="D214" s="6"/>
      <c r="G214" s="13">
        <v>15</v>
      </c>
      <c r="H214" s="13">
        <v>2</v>
      </c>
    </row>
    <row r="215" spans="1:8" ht="15" hidden="1" customHeight="1" x14ac:dyDescent="0.35">
      <c r="A215" s="6" t="str">
        <f>MID(C215,2,FIND(")",C215,1)-5)</f>
        <v xml:space="preserve">22.1 </v>
      </c>
      <c r="B215" t="str">
        <f>IF(ISNUMBER(FIND("[PASSED]",C215,1)),"PASSED","FAILED")</f>
        <v>PASSED</v>
      </c>
      <c r="C215" s="19" t="s">
        <v>59</v>
      </c>
      <c r="D215" s="6"/>
      <c r="G215" s="13">
        <v>22</v>
      </c>
      <c r="H215" s="13">
        <v>1</v>
      </c>
    </row>
    <row r="216" spans="1:8" ht="15" hidden="1" customHeight="1" x14ac:dyDescent="0.35">
      <c r="A216" s="6" t="str">
        <f>MID(C216,2,FIND(")",C216,1)-5)</f>
        <v xml:space="preserve">22.2 </v>
      </c>
      <c r="B216" t="str">
        <f>IF(ISNUMBER(FIND("[PASSED]",C216,1)),"PASSED","FAILED")</f>
        <v>PASSED</v>
      </c>
      <c r="C216" s="19" t="s">
        <v>307</v>
      </c>
      <c r="D216" s="6"/>
      <c r="G216" s="13">
        <v>22</v>
      </c>
      <c r="H216" s="13">
        <v>2</v>
      </c>
    </row>
    <row r="217" spans="1:8" ht="15" hidden="1" customHeight="1" x14ac:dyDescent="0.35">
      <c r="A217" s="6" t="str">
        <f>MID(C217,2,FIND(")",C217,1)-5)</f>
        <v xml:space="preserve">22.3 </v>
      </c>
      <c r="B217" t="str">
        <f>IF(ISNUMBER(FIND("[PASSED]",C217,1)),"PASSED","FAILED")</f>
        <v>PASSED</v>
      </c>
      <c r="C217" s="19" t="s">
        <v>89</v>
      </c>
      <c r="D217" s="6"/>
      <c r="G217" s="13">
        <v>22</v>
      </c>
      <c r="H217" s="13">
        <v>3</v>
      </c>
    </row>
    <row r="218" spans="1:8" ht="15" hidden="1" customHeight="1" x14ac:dyDescent="0.35">
      <c r="A218" s="6" t="str">
        <f>MID(C218,2,FIND(")",C218,1)-5)</f>
        <v xml:space="preserve">22.4 </v>
      </c>
      <c r="B218" t="str">
        <f>IF(ISNUMBER(FIND("[PASSED]",C218,1)),"PASSED","FAILED")</f>
        <v>PASSED</v>
      </c>
      <c r="C218" s="19" t="s">
        <v>49</v>
      </c>
      <c r="D218" s="6"/>
      <c r="G218" s="13">
        <v>22</v>
      </c>
      <c r="H218" s="13">
        <v>4</v>
      </c>
    </row>
    <row r="219" spans="1:8" ht="15" hidden="1" customHeight="1" x14ac:dyDescent="0.35">
      <c r="A219" s="6" t="str">
        <f>MID(C219,2,FIND(")",C219,1)-5)</f>
        <v xml:space="preserve">22.5 </v>
      </c>
      <c r="B219" t="str">
        <f>IF(ISNUMBER(FIND("[PASSED]",C219,1)),"PASSED","FAILED")</f>
        <v>PASSED</v>
      </c>
      <c r="C219" s="19" t="s">
        <v>273</v>
      </c>
      <c r="D219" s="6"/>
      <c r="G219" s="13">
        <v>22</v>
      </c>
      <c r="H219" s="13">
        <v>5</v>
      </c>
    </row>
    <row r="220" spans="1:8" ht="15" hidden="1" customHeight="1" x14ac:dyDescent="0.35">
      <c r="A220" s="6" t="str">
        <f>MID(C220,2,FIND(")",C220,1)-5)</f>
        <v xml:space="preserve">22.6 </v>
      </c>
      <c r="B220" t="str">
        <f>IF(ISNUMBER(FIND("[PASSED]",C220,1)),"PASSED","FAILED")</f>
        <v>PASSED</v>
      </c>
      <c r="C220" s="19" t="s">
        <v>61</v>
      </c>
      <c r="D220" s="6"/>
      <c r="G220" s="13">
        <v>22</v>
      </c>
      <c r="H220" s="13">
        <v>6</v>
      </c>
    </row>
    <row r="221" spans="1:8" ht="15" hidden="1" customHeight="1" x14ac:dyDescent="0.35">
      <c r="A221" s="6" t="str">
        <f>MID(C221,2,FIND(")",C221,1)-5)</f>
        <v xml:space="preserve">22.7 </v>
      </c>
      <c r="B221" t="str">
        <f>IF(ISNUMBER(FIND("[PASSED]",C221,1)),"PASSED","FAILED")</f>
        <v>PASSED</v>
      </c>
      <c r="C221" s="19" t="s">
        <v>101</v>
      </c>
      <c r="D221" s="6"/>
      <c r="G221" s="13">
        <v>22</v>
      </c>
      <c r="H221" s="13">
        <v>7</v>
      </c>
    </row>
    <row r="222" spans="1:8" ht="15" hidden="1" customHeight="1" x14ac:dyDescent="0.35">
      <c r="A222" s="6" t="str">
        <f>MID(C222,2,FIND(")",C222,1)-5)</f>
        <v xml:space="preserve">22.8 </v>
      </c>
      <c r="B222" t="str">
        <f>IF(ISNUMBER(FIND("[PASSED]",C222,1)),"PASSED","FAILED")</f>
        <v>PASSED</v>
      </c>
      <c r="C222" s="19" t="s">
        <v>189</v>
      </c>
      <c r="D222" s="6"/>
      <c r="G222" s="13">
        <v>22</v>
      </c>
      <c r="H222" s="13">
        <v>8</v>
      </c>
    </row>
    <row r="223" spans="1:8" ht="15" hidden="1" customHeight="1" x14ac:dyDescent="0.35">
      <c r="A223" s="6" t="str">
        <f>MID(C223,2,FIND(")",C223,1)-5)</f>
        <v xml:space="preserve">22.9 </v>
      </c>
      <c r="B223" t="str">
        <f>IF(ISNUMBER(FIND("[PASSED]",C223,1)),"PASSED","FAILED")</f>
        <v>PASSED</v>
      </c>
      <c r="C223" s="19" t="s">
        <v>117</v>
      </c>
      <c r="D223" s="6"/>
      <c r="G223" s="13">
        <v>22</v>
      </c>
      <c r="H223" s="13">
        <v>9</v>
      </c>
    </row>
    <row r="224" spans="1:8" ht="15" hidden="1" customHeight="1" x14ac:dyDescent="0.35">
      <c r="A224" s="6" t="str">
        <f>MID(C224,2,FIND(")",C224,1)-5)</f>
        <v xml:space="preserve">22.10 </v>
      </c>
      <c r="B224" t="str">
        <f>IF(ISNUMBER(FIND("[PASSED]",C224,1)),"PASSED","FAILED")</f>
        <v>PASSED</v>
      </c>
      <c r="C224" s="19" t="s">
        <v>212</v>
      </c>
      <c r="G224" s="13">
        <v>22</v>
      </c>
      <c r="H224" s="13">
        <v>10</v>
      </c>
    </row>
    <row r="225" spans="1:8" ht="15" hidden="1" customHeight="1" x14ac:dyDescent="0.35">
      <c r="A225" s="6" t="str">
        <f>MID(C225,2,FIND(")",C225,1)-5)</f>
        <v xml:space="preserve">22.11 </v>
      </c>
      <c r="B225" t="str">
        <f>IF(ISNUMBER(FIND("[PASSED]",C225,1)),"PASSED","FAILED")</f>
        <v>PASSED</v>
      </c>
      <c r="C225" s="19" t="s">
        <v>32</v>
      </c>
      <c r="D225" s="6"/>
      <c r="G225" s="13">
        <v>22</v>
      </c>
      <c r="H225" s="13">
        <v>11</v>
      </c>
    </row>
    <row r="226" spans="1:8" ht="15" hidden="1" customHeight="1" x14ac:dyDescent="0.35">
      <c r="A226" s="6" t="str">
        <f>MID(C226,2,FIND(")",C226,1)-5)</f>
        <v xml:space="preserve">22.12 </v>
      </c>
      <c r="B226" t="str">
        <f>IF(ISNUMBER(FIND("[PASSED]",C226,1)),"PASSED","FAILED")</f>
        <v>PASSED</v>
      </c>
      <c r="C226" s="19" t="s">
        <v>58</v>
      </c>
      <c r="D226" s="6"/>
      <c r="G226" s="13">
        <v>22</v>
      </c>
      <c r="H226" s="13">
        <v>12</v>
      </c>
    </row>
    <row r="227" spans="1:8" ht="15" hidden="1" customHeight="1" x14ac:dyDescent="0.35">
      <c r="A227" s="6" t="str">
        <f>MID(C227,2,FIND(")",C227,1)-5)</f>
        <v xml:space="preserve">22.13 </v>
      </c>
      <c r="B227" t="str">
        <f>IF(ISNUMBER(FIND("[PASSED]",C227,1)),"PASSED","FAILED")</f>
        <v>PASSED</v>
      </c>
      <c r="C227" s="19" t="s">
        <v>91</v>
      </c>
      <c r="D227" s="6"/>
      <c r="G227" s="13">
        <v>22</v>
      </c>
      <c r="H227" s="13">
        <v>13</v>
      </c>
    </row>
    <row r="228" spans="1:8" ht="15" hidden="1" customHeight="1" x14ac:dyDescent="0.35">
      <c r="A228" s="6" t="str">
        <f>MID(C228,2,FIND(")",C228,1)-5)</f>
        <v xml:space="preserve">22.14 </v>
      </c>
      <c r="B228" t="str">
        <f>IF(ISNUMBER(FIND("[PASSED]",C228,1)),"PASSED","FAILED")</f>
        <v>PASSED</v>
      </c>
      <c r="C228" s="19" t="s">
        <v>195</v>
      </c>
      <c r="D228" s="6"/>
      <c r="G228" s="13">
        <v>22</v>
      </c>
      <c r="H228" s="13">
        <v>14</v>
      </c>
    </row>
    <row r="229" spans="1:8" ht="15" hidden="1" customHeight="1" x14ac:dyDescent="0.35">
      <c r="A229" s="6" t="str">
        <f>MID(C229,2,FIND(")",C229,1)-5)</f>
        <v xml:space="preserve">22.15 </v>
      </c>
      <c r="B229" t="str">
        <f>IF(ISNUMBER(FIND("[PASSED]",C229,1)),"PASSED","FAILED")</f>
        <v>PASSED</v>
      </c>
      <c r="C229" s="19" t="s">
        <v>84</v>
      </c>
      <c r="G229" s="13">
        <v>22</v>
      </c>
      <c r="H229" s="13">
        <v>15</v>
      </c>
    </row>
    <row r="230" spans="1:8" ht="15" hidden="1" customHeight="1" x14ac:dyDescent="0.35">
      <c r="A230" s="6" t="str">
        <f>MID(C230,2,FIND(")",C230,1)-5)</f>
        <v xml:space="preserve">22.16 </v>
      </c>
      <c r="B230" t="str">
        <f>IF(ISNUMBER(FIND("[PASSED]",C230,1)),"PASSED","FAILED")</f>
        <v>PASSED</v>
      </c>
      <c r="C230" s="19" t="s">
        <v>119</v>
      </c>
      <c r="D230" s="6"/>
      <c r="G230" s="13">
        <v>22</v>
      </c>
      <c r="H230" s="13">
        <v>16</v>
      </c>
    </row>
    <row r="231" spans="1:8" ht="15" hidden="1" customHeight="1" x14ac:dyDescent="0.35">
      <c r="A231" s="6" t="str">
        <f>MID(C231,2,FIND(")",C231,1)-5)</f>
        <v xml:space="preserve">22.17 </v>
      </c>
      <c r="B231" t="str">
        <f>IF(ISNUMBER(FIND("[PASSED]",C231,1)),"PASSED","FAILED")</f>
        <v>PASSED</v>
      </c>
      <c r="C231" s="19" t="s">
        <v>265</v>
      </c>
      <c r="D231" s="6"/>
      <c r="G231" s="13">
        <v>22</v>
      </c>
      <c r="H231" s="13">
        <v>17</v>
      </c>
    </row>
    <row r="232" spans="1:8" ht="15" hidden="1" customHeight="1" x14ac:dyDescent="0.35">
      <c r="A232" s="6" t="str">
        <f>MID(C232,2,FIND(")",C232,1)-5)</f>
        <v xml:space="preserve">22.18 </v>
      </c>
      <c r="B232" t="str">
        <f>IF(ISNUMBER(FIND("[PASSED]",C232,1)),"PASSED","FAILED")</f>
        <v>PASSED</v>
      </c>
      <c r="C232" s="19" t="s">
        <v>141</v>
      </c>
      <c r="D232" s="6"/>
      <c r="G232" s="13">
        <v>22</v>
      </c>
      <c r="H232" s="13">
        <v>18</v>
      </c>
    </row>
    <row r="233" spans="1:8" ht="15" hidden="1" customHeight="1" x14ac:dyDescent="0.35">
      <c r="A233" s="6" t="str">
        <f>MID(C233,2,FIND(")",C233,1)-5)</f>
        <v xml:space="preserve">22.19 </v>
      </c>
      <c r="B233" t="str">
        <f>IF(ISNUMBER(FIND("[PASSED]",C233,1)),"PASSED","FAILED")</f>
        <v>PASSED</v>
      </c>
      <c r="C233" s="19" t="s">
        <v>98</v>
      </c>
      <c r="D233" s="6"/>
      <c r="G233" s="13">
        <v>22</v>
      </c>
      <c r="H233" s="13">
        <v>19</v>
      </c>
    </row>
    <row r="234" spans="1:8" ht="15" hidden="1" customHeight="1" x14ac:dyDescent="0.35">
      <c r="A234" s="6" t="str">
        <f>MID(C234,2,FIND(")",C234,1)-5)</f>
        <v xml:space="preserve">22.20 </v>
      </c>
      <c r="B234" t="str">
        <f>IF(ISNUMBER(FIND("[PASSED]",C234,1)),"PASSED","FAILED")</f>
        <v>PASSED</v>
      </c>
      <c r="C234" s="19" t="s">
        <v>53</v>
      </c>
      <c r="D234" s="6"/>
      <c r="G234" s="13">
        <v>22</v>
      </c>
      <c r="H234" s="13">
        <v>20</v>
      </c>
    </row>
    <row r="235" spans="1:8" ht="15" customHeight="1" x14ac:dyDescent="0.35">
      <c r="A235" s="6" t="str">
        <f>MID(C235,2,FIND(")",C235,1)-5)</f>
        <v xml:space="preserve">22.21 </v>
      </c>
      <c r="B235" t="str">
        <f>IF(ISNUMBER(FIND("[PASSED]",C235,1)),"PASSED","FAILED")</f>
        <v>FAILED</v>
      </c>
      <c r="C235" s="19" t="s">
        <v>176</v>
      </c>
      <c r="D235" s="13" t="s">
        <v>477</v>
      </c>
      <c r="E235" s="6" t="s">
        <v>330</v>
      </c>
      <c r="F235" s="6" t="s">
        <v>474</v>
      </c>
      <c r="G235" s="13">
        <v>22</v>
      </c>
      <c r="H235" s="13">
        <v>21</v>
      </c>
    </row>
    <row r="236" spans="1:8" ht="15" hidden="1" customHeight="1" x14ac:dyDescent="0.35">
      <c r="A236" s="6" t="str">
        <f>MID(C236,2,FIND(")",C236,1)-5)</f>
        <v xml:space="preserve">22.22 </v>
      </c>
      <c r="B236" t="str">
        <f>IF(ISNUMBER(FIND("[PASSED]",C236,1)),"PASSED","FAILED")</f>
        <v>PASSED</v>
      </c>
      <c r="C236" s="19" t="s">
        <v>110</v>
      </c>
      <c r="G236" s="13">
        <v>22</v>
      </c>
      <c r="H236" s="13">
        <v>22</v>
      </c>
    </row>
    <row r="237" spans="1:8" ht="15" hidden="1" customHeight="1" x14ac:dyDescent="0.35">
      <c r="A237" s="6" t="str">
        <f>MID(C237,2,FIND(")",C237,1)-5)</f>
        <v xml:space="preserve">22.23 </v>
      </c>
      <c r="B237" t="str">
        <f>IF(ISNUMBER(FIND("[PASSED]",C237,1)),"PASSED","FAILED")</f>
        <v>PASSED</v>
      </c>
      <c r="C237" s="19" t="s">
        <v>160</v>
      </c>
      <c r="D237" s="6"/>
      <c r="G237" s="13">
        <v>22</v>
      </c>
      <c r="H237" s="13">
        <v>23</v>
      </c>
    </row>
    <row r="238" spans="1:8" ht="15" hidden="1" customHeight="1" x14ac:dyDescent="0.35">
      <c r="A238" s="6" t="str">
        <f>MID(C238,2,FIND(")",C238,1)-5)</f>
        <v xml:space="preserve">22.24 </v>
      </c>
      <c r="B238" t="str">
        <f>IF(ISNUMBER(FIND("[PASSED]",C238,1)),"PASSED","FAILED")</f>
        <v>PASSED</v>
      </c>
      <c r="C238" s="19" t="s">
        <v>417</v>
      </c>
      <c r="D238" s="6"/>
      <c r="G238" s="13">
        <v>22</v>
      </c>
      <c r="H238" s="13">
        <v>24</v>
      </c>
    </row>
    <row r="239" spans="1:8" ht="15" hidden="1" customHeight="1" x14ac:dyDescent="0.35">
      <c r="A239" s="6" t="str">
        <f>MID(C239,2,FIND(")",C239,1)-5)</f>
        <v xml:space="preserve">22.25 </v>
      </c>
      <c r="B239" t="str">
        <f>IF(ISNUMBER(FIND("[PASSED]",C239,1)),"PASSED","FAILED")</f>
        <v>PASSED</v>
      </c>
      <c r="C239" s="19" t="s">
        <v>382</v>
      </c>
      <c r="G239" s="13">
        <v>22</v>
      </c>
      <c r="H239" s="13">
        <v>25</v>
      </c>
    </row>
    <row r="240" spans="1:8" ht="15" hidden="1" customHeight="1" x14ac:dyDescent="0.35">
      <c r="A240" s="6" t="str">
        <f>MID(C240,2,FIND(")",C240,1)-5)</f>
        <v xml:space="preserve">22.26 </v>
      </c>
      <c r="B240" t="str">
        <f>IF(ISNUMBER(FIND("[PASSED]",C240,1)),"PASSED","FAILED")</f>
        <v>PASSED</v>
      </c>
      <c r="C240" s="19" t="s">
        <v>56</v>
      </c>
      <c r="D240" s="6"/>
      <c r="G240" s="13">
        <v>22</v>
      </c>
      <c r="H240" s="13">
        <v>26</v>
      </c>
    </row>
    <row r="241" spans="1:8" ht="15" hidden="1" customHeight="1" x14ac:dyDescent="0.35">
      <c r="A241" s="6" t="str">
        <f>MID(C241,2,FIND(")",C241,1)-5)</f>
        <v xml:space="preserve">22.27 </v>
      </c>
      <c r="B241" t="str">
        <f>IF(ISNUMBER(FIND("[PASSED]",C241,1)),"PASSED","FAILED")</f>
        <v>PASSED</v>
      </c>
      <c r="C241" s="19" t="s">
        <v>279</v>
      </c>
      <c r="D241" s="6"/>
      <c r="G241" s="13">
        <v>22</v>
      </c>
      <c r="H241" s="13">
        <v>27</v>
      </c>
    </row>
    <row r="242" spans="1:8" ht="15" hidden="1" customHeight="1" x14ac:dyDescent="0.35">
      <c r="A242" s="6" t="str">
        <f>MID(C242,2,FIND(")",C242,1)-5)</f>
        <v xml:space="preserve">22.28 </v>
      </c>
      <c r="B242" t="str">
        <f>IF(ISNUMBER(FIND("[PASSED]",C242,1)),"PASSED","FAILED")</f>
        <v>PASSED</v>
      </c>
      <c r="C242" s="19" t="s">
        <v>121</v>
      </c>
      <c r="D242" s="6"/>
      <c r="G242" s="13">
        <v>22</v>
      </c>
      <c r="H242" s="13">
        <v>28</v>
      </c>
    </row>
    <row r="243" spans="1:8" ht="15" hidden="1" customHeight="1" x14ac:dyDescent="0.35">
      <c r="A243" s="6" t="str">
        <f>MID(C243,2,FIND(")",C243,1)-5)</f>
        <v xml:space="preserve">22.29 </v>
      </c>
      <c r="B243" t="str">
        <f>IF(ISNUMBER(FIND("[PASSED]",C243,1)),"PASSED","FAILED")</f>
        <v>PASSED</v>
      </c>
      <c r="C243" s="19" t="s">
        <v>221</v>
      </c>
      <c r="D243" s="6"/>
      <c r="G243" s="13">
        <v>22</v>
      </c>
      <c r="H243" s="13">
        <v>29</v>
      </c>
    </row>
    <row r="244" spans="1:8" ht="15" hidden="1" customHeight="1" x14ac:dyDescent="0.35">
      <c r="A244" s="6" t="str">
        <f>MID(C244,2,FIND(")",C244,1)-5)</f>
        <v xml:space="preserve">22.30 </v>
      </c>
      <c r="B244" t="str">
        <f>IF(ISNUMBER(FIND("[PASSED]",C244,1)),"PASSED","FAILED")</f>
        <v>PASSED</v>
      </c>
      <c r="C244" s="19" t="s">
        <v>33</v>
      </c>
      <c r="D244" s="6"/>
      <c r="G244" s="13">
        <v>22</v>
      </c>
      <c r="H244" s="13">
        <v>30</v>
      </c>
    </row>
    <row r="245" spans="1:8" ht="15" hidden="1" customHeight="1" x14ac:dyDescent="0.35">
      <c r="A245" s="6" t="str">
        <f>MID(C245,2,FIND(")",C245,1)-5)</f>
        <v xml:space="preserve">22.31 </v>
      </c>
      <c r="B245" t="str">
        <f>IF(ISNUMBER(FIND("[PASSED]",C245,1)),"PASSED","FAILED")</f>
        <v>PASSED</v>
      </c>
      <c r="C245" s="19" t="s">
        <v>378</v>
      </c>
      <c r="D245" s="6"/>
      <c r="G245" s="13">
        <v>22</v>
      </c>
      <c r="H245" s="13">
        <v>31</v>
      </c>
    </row>
    <row r="246" spans="1:8" ht="15" hidden="1" customHeight="1" x14ac:dyDescent="0.35">
      <c r="A246" s="6" t="str">
        <f>MID(C246,2,FIND(")",C246,1)-5)</f>
        <v xml:space="preserve">22.32 </v>
      </c>
      <c r="B246" t="str">
        <f>IF(ISNUMBER(FIND("[PASSED]",C246,1)),"PASSED","FAILED")</f>
        <v>PASSED</v>
      </c>
      <c r="C246" s="19" t="s">
        <v>153</v>
      </c>
      <c r="D246" s="6"/>
      <c r="G246" s="13">
        <v>22</v>
      </c>
      <c r="H246" s="13">
        <v>32</v>
      </c>
    </row>
    <row r="247" spans="1:8" ht="15" hidden="1" customHeight="1" x14ac:dyDescent="0.35">
      <c r="A247" s="6" t="str">
        <f>MID(C247,2,FIND(")",C247,1)-5)</f>
        <v xml:space="preserve">23.1 </v>
      </c>
      <c r="B247" t="str">
        <f>IF(ISNUMBER(FIND("[PASSED]",C247,1)),"PASSED","FAILED")</f>
        <v>PASSED</v>
      </c>
      <c r="C247" s="19" t="s">
        <v>261</v>
      </c>
      <c r="D247" s="6"/>
      <c r="G247" s="13">
        <v>23</v>
      </c>
      <c r="H247" s="13">
        <v>1</v>
      </c>
    </row>
    <row r="248" spans="1:8" ht="15" hidden="1" customHeight="1" x14ac:dyDescent="0.35">
      <c r="A248" s="6" t="str">
        <f>MID(C248,2,FIND(")",C248,1)-5)</f>
        <v xml:space="preserve">24.1 </v>
      </c>
      <c r="B248" t="str">
        <f>IF(ISNUMBER(FIND("[PASSED]",C248,1)),"PASSED","FAILED")</f>
        <v>PASSED</v>
      </c>
      <c r="C248" s="19" t="s">
        <v>68</v>
      </c>
      <c r="D248" s="6"/>
      <c r="G248" s="13">
        <v>24</v>
      </c>
      <c r="H248" s="13">
        <v>1</v>
      </c>
    </row>
    <row r="249" spans="1:8" ht="15" hidden="1" customHeight="1" x14ac:dyDescent="0.35">
      <c r="A249" s="6" t="str">
        <f>MID(C249,2,FIND(")",C249,1)-5)</f>
        <v xml:space="preserve">24.2 </v>
      </c>
      <c r="B249" t="str">
        <f>IF(ISNUMBER(FIND("[PASSED]",C249,1)),"PASSED","FAILED")</f>
        <v>PASSED</v>
      </c>
      <c r="C249" s="19" t="s">
        <v>31</v>
      </c>
      <c r="D249" s="6"/>
      <c r="G249" s="13">
        <v>24</v>
      </c>
      <c r="H249" s="13">
        <v>2</v>
      </c>
    </row>
    <row r="250" spans="1:8" ht="15" hidden="1" customHeight="1" x14ac:dyDescent="0.35">
      <c r="A250" s="6" t="str">
        <f>MID(C250,2,FIND(")",C250,1)-5)</f>
        <v xml:space="preserve">24.3 </v>
      </c>
      <c r="B250" t="str">
        <f>IF(ISNUMBER(FIND("[PASSED]",C250,1)),"PASSED","FAILED")</f>
        <v>PASSED</v>
      </c>
      <c r="C250" s="19" t="s">
        <v>73</v>
      </c>
      <c r="G250" s="13">
        <v>24</v>
      </c>
      <c r="H250" s="13">
        <v>3</v>
      </c>
    </row>
    <row r="251" spans="1:8" ht="15" hidden="1" customHeight="1" x14ac:dyDescent="0.35">
      <c r="A251" s="6" t="str">
        <f>MID(C251,2,FIND(")",C251,1)-5)</f>
        <v xml:space="preserve">24.4 </v>
      </c>
      <c r="B251" t="str">
        <f>IF(ISNUMBER(FIND("[PASSED]",C251,1)),"PASSED","FAILED")</f>
        <v>PASSED</v>
      </c>
      <c r="C251" s="19" t="s">
        <v>238</v>
      </c>
      <c r="D251" s="6"/>
      <c r="G251" s="13">
        <v>24</v>
      </c>
      <c r="H251" s="13">
        <v>4</v>
      </c>
    </row>
    <row r="252" spans="1:8" ht="15" hidden="1" customHeight="1" x14ac:dyDescent="0.35">
      <c r="A252" s="6" t="str">
        <f>MID(C252,2,FIND(")",C252,1)-5)</f>
        <v xml:space="preserve">26.1 </v>
      </c>
      <c r="B252" t="str">
        <f>IF(ISNUMBER(FIND("[PASSED]",C252,1)),"PASSED","FAILED")</f>
        <v>PASSED</v>
      </c>
      <c r="C252" s="19" t="s">
        <v>39</v>
      </c>
      <c r="D252" s="6"/>
      <c r="G252" s="13">
        <v>26</v>
      </c>
      <c r="H252" s="13">
        <v>1</v>
      </c>
    </row>
    <row r="253" spans="1:8" ht="15" customHeight="1" x14ac:dyDescent="0.35">
      <c r="A253" s="6" t="str">
        <f>MID(C253,2,FIND(")",C253,1)-5)</f>
        <v xml:space="preserve">26.2 </v>
      </c>
      <c r="B253" t="str">
        <f>IF(ISNUMBER(FIND("[PASSED]",C253,1)),"PASSED","FAILED")</f>
        <v>FAILED</v>
      </c>
      <c r="C253" s="19" t="s">
        <v>455</v>
      </c>
      <c r="D253" s="13" t="s">
        <v>478</v>
      </c>
      <c r="E253" s="6" t="s">
        <v>330</v>
      </c>
      <c r="F253" s="6" t="s">
        <v>474</v>
      </c>
      <c r="G253" s="13">
        <v>26</v>
      </c>
      <c r="H253" s="13">
        <v>2</v>
      </c>
    </row>
    <row r="254" spans="1:8" ht="15" customHeight="1" x14ac:dyDescent="0.35">
      <c r="A254" s="6" t="str">
        <f>MID(C254,2,FIND(")",C254,1)-5)</f>
        <v xml:space="preserve">26.3 </v>
      </c>
      <c r="B254" t="str">
        <f>IF(ISNUMBER(FIND("[PASSED]",C254,1)),"PASSED","FAILED")</f>
        <v>FAILED</v>
      </c>
      <c r="C254" s="19" t="s">
        <v>365</v>
      </c>
      <c r="D254" s="13" t="s">
        <v>479</v>
      </c>
      <c r="E254" s="6" t="s">
        <v>330</v>
      </c>
      <c r="F254" s="6" t="s">
        <v>474</v>
      </c>
      <c r="G254" s="13">
        <v>26</v>
      </c>
      <c r="H254" s="13">
        <v>3</v>
      </c>
    </row>
    <row r="255" spans="1:8" ht="15" hidden="1" customHeight="1" x14ac:dyDescent="0.35">
      <c r="A255" s="6" t="str">
        <f>MID(C255,2,FIND(")",C255,1)-5)</f>
        <v xml:space="preserve">26.4 </v>
      </c>
      <c r="B255" t="str">
        <f>IF(ISNUMBER(FIND("[PASSED]",C255,1)),"PASSED","FAILED")</f>
        <v>PASSED</v>
      </c>
      <c r="C255" s="19" t="s">
        <v>349</v>
      </c>
      <c r="G255" s="13">
        <v>26</v>
      </c>
      <c r="H255" s="13">
        <v>4</v>
      </c>
    </row>
    <row r="256" spans="1:8" ht="15" hidden="1" customHeight="1" x14ac:dyDescent="0.35">
      <c r="A256" s="6" t="str">
        <f>MID(C256,2,FIND(")",C256,1)-5)</f>
        <v xml:space="preserve">26.5 </v>
      </c>
      <c r="B256" t="str">
        <f>IF(ISNUMBER(FIND("[PASSED]",C256,1)),"PASSED","FAILED")</f>
        <v>PASSED</v>
      </c>
      <c r="C256" s="19" t="s">
        <v>360</v>
      </c>
      <c r="D256" s="6"/>
      <c r="G256" s="13">
        <v>26</v>
      </c>
      <c r="H256" s="13">
        <v>5</v>
      </c>
    </row>
    <row r="257" spans="1:8" ht="15" hidden="1" customHeight="1" x14ac:dyDescent="0.35">
      <c r="A257" s="6" t="str">
        <f>MID(C257,2,FIND(")",C257,1)-5)</f>
        <v xml:space="preserve">26.6 </v>
      </c>
      <c r="B257" t="str">
        <f>IF(ISNUMBER(FIND("[PASSED]",C257,1)),"PASSED","FAILED")</f>
        <v>PASSED</v>
      </c>
      <c r="C257" s="19" t="s">
        <v>413</v>
      </c>
      <c r="D257" s="6"/>
      <c r="G257" s="13">
        <v>26</v>
      </c>
      <c r="H257" s="13">
        <v>6</v>
      </c>
    </row>
    <row r="258" spans="1:8" ht="15" hidden="1" customHeight="1" x14ac:dyDescent="0.35">
      <c r="A258" s="6" t="str">
        <f>MID(C258,2,FIND(")",C258,1)-5)</f>
        <v xml:space="preserve">26.7 </v>
      </c>
      <c r="B258" t="str">
        <f>IF(ISNUMBER(FIND("[PASSED]",C258,1)),"PASSED","FAILED")</f>
        <v>PASSED</v>
      </c>
      <c r="C258" s="19" t="s">
        <v>401</v>
      </c>
      <c r="D258" s="6"/>
      <c r="G258" s="13">
        <v>26</v>
      </c>
      <c r="H258" s="13">
        <v>7</v>
      </c>
    </row>
    <row r="259" spans="1:8" ht="15" hidden="1" customHeight="1" x14ac:dyDescent="0.35">
      <c r="A259" s="6" t="str">
        <f>MID(C259,2,FIND(")",C259,1)-5)</f>
        <v xml:space="preserve">26.8 </v>
      </c>
      <c r="B259" t="str">
        <f>IF(ISNUMBER(FIND("[PASSED]",C259,1)),"PASSED","FAILED")</f>
        <v>PASSED</v>
      </c>
      <c r="C259" s="19" t="s">
        <v>363</v>
      </c>
      <c r="D259" s="6"/>
      <c r="G259" s="13">
        <v>26</v>
      </c>
      <c r="H259" s="13">
        <v>8</v>
      </c>
    </row>
    <row r="260" spans="1:8" ht="15" hidden="1" customHeight="1" x14ac:dyDescent="0.35">
      <c r="A260" s="6" t="str">
        <f>MID(C260,2,FIND(")",C260,1)-5)</f>
        <v xml:space="preserve">26.9 </v>
      </c>
      <c r="B260" t="str">
        <f>IF(ISNUMBER(FIND("[PASSED]",C260,1)),"PASSED","FAILED")</f>
        <v>PASSED</v>
      </c>
      <c r="C260" s="19" t="s">
        <v>35</v>
      </c>
      <c r="D260" s="6"/>
      <c r="G260" s="13">
        <v>26</v>
      </c>
      <c r="H260" s="13">
        <v>9</v>
      </c>
    </row>
    <row r="261" spans="1:8" ht="15" hidden="1" customHeight="1" x14ac:dyDescent="0.35">
      <c r="A261" s="6" t="str">
        <f>MID(C261,2,FIND(")",C261,1)-5)</f>
        <v xml:space="preserve">28.1 </v>
      </c>
      <c r="B261" t="str">
        <f>IF(ISNUMBER(FIND("[PASSED]",C261,1)),"PASSED","FAILED")</f>
        <v>PASSED</v>
      </c>
      <c r="C261" s="19" t="s">
        <v>338</v>
      </c>
      <c r="D261" s="6"/>
      <c r="G261" s="13">
        <v>28</v>
      </c>
      <c r="H261" s="13">
        <v>1</v>
      </c>
    </row>
    <row r="262" spans="1:8" ht="15" hidden="1" customHeight="1" x14ac:dyDescent="0.35">
      <c r="A262" s="6" t="str">
        <f>MID(C262,2,FIND(")",C262,1)-5)</f>
        <v xml:space="preserve">34.1 </v>
      </c>
      <c r="B262" t="str">
        <f>IF(ISNUMBER(FIND("[PASSED]",C262,1)),"PASSED","FAILED")</f>
        <v>PASSED</v>
      </c>
      <c r="C262" s="19" t="s">
        <v>82</v>
      </c>
      <c r="D262" s="6"/>
      <c r="G262" s="13">
        <v>34</v>
      </c>
      <c r="H262" s="13">
        <v>1</v>
      </c>
    </row>
    <row r="263" spans="1:8" ht="15" hidden="1" customHeight="1" x14ac:dyDescent="0.35">
      <c r="A263" s="6" t="str">
        <f>MID(C263,2,FIND(")",C263,1)-5)</f>
        <v xml:space="preserve">34.2 </v>
      </c>
      <c r="B263" t="str">
        <f>IF(ISNUMBER(FIND("[PASSED]",C263,1)),"PASSED","FAILED")</f>
        <v>PASSED</v>
      </c>
      <c r="C263" s="19" t="s">
        <v>494</v>
      </c>
      <c r="D263" s="6"/>
      <c r="G263" s="13">
        <v>34</v>
      </c>
      <c r="H263" s="13">
        <v>2</v>
      </c>
    </row>
    <row r="264" spans="1:8" ht="15" hidden="1" customHeight="1" x14ac:dyDescent="0.35">
      <c r="A264" s="6" t="str">
        <f>MID(C264,2,FIND(")",C264,1)-5)</f>
        <v xml:space="preserve">34.3 </v>
      </c>
      <c r="B264" t="str">
        <f>IF(ISNUMBER(FIND("[PASSED]",C264,1)),"PASSED","FAILED")</f>
        <v>PASSED</v>
      </c>
      <c r="C264" s="19" t="s">
        <v>425</v>
      </c>
      <c r="D264" s="6"/>
      <c r="G264" s="13">
        <v>34</v>
      </c>
      <c r="H264" s="13">
        <v>3</v>
      </c>
    </row>
    <row r="265" spans="1:8" ht="15" hidden="1" customHeight="1" x14ac:dyDescent="0.35">
      <c r="A265" s="6" t="str">
        <f>MID(C265,2,FIND(")",C265,1)-5)</f>
        <v xml:space="preserve">34.4 </v>
      </c>
      <c r="B265" t="str">
        <f>IF(ISNUMBER(FIND("[PASSED]",C265,1)),"PASSED","FAILED")</f>
        <v>PASSED</v>
      </c>
      <c r="C265" s="19" t="s">
        <v>232</v>
      </c>
      <c r="D265" s="6"/>
      <c r="G265" s="13">
        <v>34</v>
      </c>
      <c r="H265" s="13">
        <v>4</v>
      </c>
    </row>
    <row r="266" spans="1:8" ht="15" hidden="1" customHeight="1" x14ac:dyDescent="0.35">
      <c r="A266" s="6" t="str">
        <f>MID(C266,2,FIND(")",C266,1)-5)</f>
        <v xml:space="preserve">34.5 </v>
      </c>
      <c r="B266" t="str">
        <f>IF(ISNUMBER(FIND("[PASSED]",C266,1)),"PASSED","FAILED")</f>
        <v>PASSED</v>
      </c>
      <c r="C266" s="19" t="s">
        <v>278</v>
      </c>
      <c r="D266" s="6"/>
      <c r="G266" s="13">
        <v>34</v>
      </c>
      <c r="H266" s="13">
        <v>5</v>
      </c>
    </row>
    <row r="267" spans="1:8" ht="15" hidden="1" customHeight="1" x14ac:dyDescent="0.35">
      <c r="A267" s="6" t="str">
        <f>MID(C267,2,FIND(")",C267,1)-5)</f>
        <v xml:space="preserve">38.1 </v>
      </c>
      <c r="B267" t="str">
        <f>IF(ISNUMBER(FIND("[PASSED]",C267,1)),"PASSED","FAILED")</f>
        <v>PASSED</v>
      </c>
      <c r="C267" s="19" t="s">
        <v>88</v>
      </c>
      <c r="D267" s="6"/>
      <c r="G267" s="13">
        <v>38</v>
      </c>
      <c r="H267" s="13">
        <v>1</v>
      </c>
    </row>
    <row r="268" spans="1:8" ht="15" hidden="1" customHeight="1" x14ac:dyDescent="0.35">
      <c r="A268" s="6" t="str">
        <f>MID(C268,2,FIND(")",C268,1)-5)</f>
        <v xml:space="preserve">38.2 </v>
      </c>
      <c r="B268" t="str">
        <f>IF(ISNUMBER(FIND("[PASSED]",C268,1)),"PASSED","FAILED")</f>
        <v>PASSED</v>
      </c>
      <c r="C268" s="19" t="s">
        <v>72</v>
      </c>
      <c r="D268" s="6"/>
      <c r="G268" s="13">
        <v>38</v>
      </c>
      <c r="H268" s="13">
        <v>2</v>
      </c>
    </row>
    <row r="269" spans="1:8" ht="15" hidden="1" customHeight="1" x14ac:dyDescent="0.35">
      <c r="A269" s="6" t="str">
        <f>MID(C269,2,FIND(")",C269,1)-5)</f>
        <v xml:space="preserve">38.3 </v>
      </c>
      <c r="B269" t="str">
        <f>IF(ISNUMBER(FIND("[PASSED]",C269,1)),"PASSED","FAILED")</f>
        <v>PASSED</v>
      </c>
      <c r="C269" s="19" t="s">
        <v>203</v>
      </c>
      <c r="D269" s="6"/>
      <c r="G269" s="13">
        <v>38</v>
      </c>
      <c r="H269" s="13">
        <v>3</v>
      </c>
    </row>
    <row r="270" spans="1:8" ht="15" hidden="1" customHeight="1" x14ac:dyDescent="0.35">
      <c r="A270" s="6" t="str">
        <f>MID(C270,2,FIND(")",C270,1)-5)</f>
        <v xml:space="preserve">38.4 </v>
      </c>
      <c r="B270" t="str">
        <f>IF(ISNUMBER(FIND("[PASSED]",C270,1)),"PASSED","FAILED")</f>
        <v>PASSED</v>
      </c>
      <c r="C270" s="19" t="s">
        <v>262</v>
      </c>
      <c r="D270" s="6"/>
      <c r="G270" s="13">
        <v>38</v>
      </c>
      <c r="H270" s="13">
        <v>4</v>
      </c>
    </row>
    <row r="271" spans="1:8" ht="15" hidden="1" customHeight="1" x14ac:dyDescent="0.35">
      <c r="A271" s="6" t="str">
        <f>MID(C271,2,FIND(")",C271,1)-5)</f>
        <v xml:space="preserve">38.5 </v>
      </c>
      <c r="B271" t="str">
        <f>IF(ISNUMBER(FIND("[PASSED]",C271,1)),"PASSED","FAILED")</f>
        <v>PASSED</v>
      </c>
      <c r="C271" s="19" t="s">
        <v>76</v>
      </c>
      <c r="G271" s="13">
        <v>38</v>
      </c>
      <c r="H271" s="13">
        <v>5</v>
      </c>
    </row>
    <row r="272" spans="1:8" ht="15" hidden="1" customHeight="1" x14ac:dyDescent="0.35">
      <c r="A272" s="6" t="str">
        <f>MID(C272,2,FIND(")",C272,1)-5)</f>
        <v xml:space="preserve">38.6 </v>
      </c>
      <c r="B272" t="str">
        <f>IF(ISNUMBER(FIND("[PASSED]",C272,1)),"PASSED","FAILED")</f>
        <v>PASSED</v>
      </c>
      <c r="C272" s="19" t="s">
        <v>86</v>
      </c>
      <c r="D272" s="6"/>
      <c r="G272" s="13">
        <v>38</v>
      </c>
      <c r="H272" s="13">
        <v>6</v>
      </c>
    </row>
    <row r="273" spans="1:8" ht="15" hidden="1" customHeight="1" x14ac:dyDescent="0.35">
      <c r="A273" s="6" t="str">
        <f>MID(C273,2,FIND(")",C273,1)-5)</f>
        <v xml:space="preserve">38.7 </v>
      </c>
      <c r="B273" t="str">
        <f>IF(ISNUMBER(FIND("[PASSED]",C273,1)),"PASSED","FAILED")</f>
        <v>PASSED</v>
      </c>
      <c r="C273" s="19" t="s">
        <v>69</v>
      </c>
      <c r="D273" s="6"/>
      <c r="G273" s="13">
        <v>38</v>
      </c>
      <c r="H273" s="13">
        <v>7</v>
      </c>
    </row>
    <row r="274" spans="1:8" ht="15" hidden="1" customHeight="1" x14ac:dyDescent="0.35">
      <c r="A274" s="6" t="str">
        <f>MID(C274,2,FIND(")",C274,1)-5)</f>
        <v xml:space="preserve">38.8 </v>
      </c>
      <c r="B274" t="str">
        <f>IF(ISNUMBER(FIND("[PASSED]",C274,1)),"PASSED","FAILED")</f>
        <v>PASSED</v>
      </c>
      <c r="C274" s="19" t="s">
        <v>217</v>
      </c>
      <c r="D274" s="6"/>
      <c r="G274" s="13">
        <v>38</v>
      </c>
      <c r="H274" s="13">
        <v>8</v>
      </c>
    </row>
    <row r="275" spans="1:8" ht="15" hidden="1" customHeight="1" x14ac:dyDescent="0.35">
      <c r="A275" s="6" t="str">
        <f>MID(C275,2,FIND(")",C275,1)-5)</f>
        <v xml:space="preserve">38.9 </v>
      </c>
      <c r="B275" t="str">
        <f>IF(ISNUMBER(FIND("[PASSED]",C275,1)),"PASSED","FAILED")</f>
        <v>PASSED</v>
      </c>
      <c r="C275" s="19" t="s">
        <v>63</v>
      </c>
      <c r="D275" s="6"/>
      <c r="G275" s="13">
        <v>38</v>
      </c>
      <c r="H275" s="13">
        <v>9</v>
      </c>
    </row>
    <row r="276" spans="1:8" ht="15" hidden="1" customHeight="1" x14ac:dyDescent="0.35">
      <c r="A276" s="6" t="str">
        <f>MID(C276,2,FIND(")",C276,1)-5)</f>
        <v xml:space="preserve">38.10 </v>
      </c>
      <c r="B276" t="str">
        <f>IF(ISNUMBER(FIND("[PASSED]",C276,1)),"PASSED","FAILED")</f>
        <v>PASSED</v>
      </c>
      <c r="C276" s="19" t="s">
        <v>258</v>
      </c>
      <c r="D276" s="6"/>
      <c r="G276" s="13">
        <v>38</v>
      </c>
      <c r="H276" s="13">
        <v>10</v>
      </c>
    </row>
    <row r="277" spans="1:8" ht="15" hidden="1" customHeight="1" x14ac:dyDescent="0.35">
      <c r="A277" s="6" t="str">
        <f>MID(C277,2,FIND(")",C277,1)-5)</f>
        <v xml:space="preserve">38.11 </v>
      </c>
      <c r="B277" t="str">
        <f>IF(ISNUMBER(FIND("[PASSED]",C277,1)),"PASSED","FAILED")</f>
        <v>PASSED</v>
      </c>
      <c r="C277" s="19" t="s">
        <v>52</v>
      </c>
      <c r="D277" s="6"/>
      <c r="G277" s="13">
        <v>38</v>
      </c>
      <c r="H277" s="13">
        <v>11</v>
      </c>
    </row>
    <row r="278" spans="1:8" ht="15" hidden="1" customHeight="1" x14ac:dyDescent="0.35">
      <c r="A278" s="6" t="str">
        <f>MID(C278,2,FIND(")",C278,1)-5)</f>
        <v xml:space="preserve">38.12 </v>
      </c>
      <c r="B278" t="str">
        <f>IF(ISNUMBER(FIND("[PASSED]",C278,1)),"PASSED","FAILED")</f>
        <v>PASSED</v>
      </c>
      <c r="C278" s="19" t="s">
        <v>243</v>
      </c>
      <c r="D278" s="6"/>
      <c r="G278" s="13">
        <v>38</v>
      </c>
      <c r="H278" s="13">
        <v>12</v>
      </c>
    </row>
    <row r="279" spans="1:8" ht="15" hidden="1" customHeight="1" x14ac:dyDescent="0.35">
      <c r="A279" s="6" t="str">
        <f>MID(C279,2,FIND(")",C279,1)-5)</f>
        <v xml:space="preserve">38.13 </v>
      </c>
      <c r="B279" t="str">
        <f>IF(ISNUMBER(FIND("[PASSED]",C279,1)),"PASSED","FAILED")</f>
        <v>PASSED</v>
      </c>
      <c r="C279" s="19" t="s">
        <v>216</v>
      </c>
      <c r="D279" s="6"/>
      <c r="G279" s="13">
        <v>38</v>
      </c>
      <c r="H279" s="13">
        <v>13</v>
      </c>
    </row>
    <row r="280" spans="1:8" ht="15" hidden="1" customHeight="1" x14ac:dyDescent="0.35">
      <c r="A280" s="6" t="str">
        <f>MID(C280,2,FIND(")",C280,1)-5)</f>
        <v xml:space="preserve">38.14 </v>
      </c>
      <c r="B280" t="str">
        <f>IF(ISNUMBER(FIND("[PASSED]",C280,1)),"PASSED","FAILED")</f>
        <v>PASSED</v>
      </c>
      <c r="C280" s="19" t="s">
        <v>284</v>
      </c>
      <c r="D280" s="6"/>
      <c r="G280" s="13">
        <v>38</v>
      </c>
      <c r="H280" s="13">
        <v>14</v>
      </c>
    </row>
    <row r="281" spans="1:8" ht="15" hidden="1" customHeight="1" x14ac:dyDescent="0.35">
      <c r="A281" s="6" t="str">
        <f>MID(C281,2,FIND(")",C281,1)-5)</f>
        <v xml:space="preserve">38.15 </v>
      </c>
      <c r="B281" t="str">
        <f>IF(ISNUMBER(FIND("[PASSED]",C281,1)),"PASSED","FAILED")</f>
        <v>PASSED</v>
      </c>
      <c r="C281" s="19" t="s">
        <v>300</v>
      </c>
      <c r="D281" s="6"/>
      <c r="G281" s="13">
        <v>38</v>
      </c>
      <c r="H281" s="13">
        <v>15</v>
      </c>
    </row>
    <row r="282" spans="1:8" ht="15" hidden="1" customHeight="1" x14ac:dyDescent="0.35">
      <c r="A282" s="6" t="str">
        <f>MID(C282,2,FIND(")",C282,1)-5)</f>
        <v xml:space="preserve">38.16 </v>
      </c>
      <c r="B282" t="str">
        <f>IF(ISNUMBER(FIND("[PASSED]",C282,1)),"PASSED","FAILED")</f>
        <v>PASSED</v>
      </c>
      <c r="C282" s="19" t="s">
        <v>138</v>
      </c>
      <c r="D282" s="6"/>
      <c r="G282" s="13">
        <v>38</v>
      </c>
      <c r="H282" s="13">
        <v>16</v>
      </c>
    </row>
    <row r="283" spans="1:8" ht="15" hidden="1" customHeight="1" x14ac:dyDescent="0.35">
      <c r="A283" s="6" t="str">
        <f>MID(C283,2,FIND(")",C283,1)-5)</f>
        <v xml:space="preserve">38.17 </v>
      </c>
      <c r="B283" t="str">
        <f>IF(ISNUMBER(FIND("[PASSED]",C283,1)),"PASSED","FAILED")</f>
        <v>PASSED</v>
      </c>
      <c r="C283" s="19" t="s">
        <v>11</v>
      </c>
      <c r="D283" s="6"/>
      <c r="G283" s="13">
        <v>38</v>
      </c>
      <c r="H283" s="13">
        <v>17</v>
      </c>
    </row>
    <row r="284" spans="1:8" ht="15" hidden="1" customHeight="1" x14ac:dyDescent="0.35">
      <c r="A284" s="6" t="str">
        <f>MID(C284,2,FIND(")",C284,1)-5)</f>
        <v xml:space="preserve">38.18 </v>
      </c>
      <c r="B284" t="str">
        <f>IF(ISNUMBER(FIND("[PASSED]",C284,1)),"PASSED","FAILED")</f>
        <v>PASSED</v>
      </c>
      <c r="C284" s="19" t="s">
        <v>108</v>
      </c>
      <c r="G284" s="13">
        <v>38</v>
      </c>
      <c r="H284" s="13">
        <v>18</v>
      </c>
    </row>
    <row r="285" spans="1:8" ht="15" hidden="1" customHeight="1" x14ac:dyDescent="0.35">
      <c r="A285" s="6" t="str">
        <f>MID(C285,2,FIND(")",C285,1)-5)</f>
        <v xml:space="preserve">38.19 </v>
      </c>
      <c r="B285" t="str">
        <f>IF(ISNUMBER(FIND("[PASSED]",C285,1)),"PASSED","FAILED")</f>
        <v>PASSED</v>
      </c>
      <c r="C285" s="19" t="s">
        <v>254</v>
      </c>
      <c r="D285" s="6"/>
      <c r="G285" s="13">
        <v>38</v>
      </c>
      <c r="H285" s="13">
        <v>19</v>
      </c>
    </row>
    <row r="286" spans="1:8" ht="15" hidden="1" customHeight="1" x14ac:dyDescent="0.35">
      <c r="A286" s="6" t="str">
        <f>MID(C286,2,FIND(")",C286,1)-5)</f>
        <v xml:space="preserve">38.20 </v>
      </c>
      <c r="B286" t="str">
        <f>IF(ISNUMBER(FIND("[PASSED]",C286,1)),"PASSED","FAILED")</f>
        <v>PASSED</v>
      </c>
      <c r="C286" s="19" t="s">
        <v>129</v>
      </c>
      <c r="G286" s="13">
        <v>38</v>
      </c>
      <c r="H286" s="13">
        <v>20</v>
      </c>
    </row>
    <row r="287" spans="1:8" ht="15" hidden="1" customHeight="1" x14ac:dyDescent="0.35">
      <c r="A287" s="6" t="str">
        <f>MID(C287,2,FIND(")",C287,1)-5)</f>
        <v xml:space="preserve">38.21 </v>
      </c>
      <c r="B287" t="str">
        <f>IF(ISNUMBER(FIND("[PASSED]",C287,1)),"PASSED","FAILED")</f>
        <v>PASSED</v>
      </c>
      <c r="C287" s="19" t="s">
        <v>283</v>
      </c>
      <c r="D287" s="6"/>
      <c r="G287" s="13">
        <v>38</v>
      </c>
      <c r="H287" s="13">
        <v>21</v>
      </c>
    </row>
    <row r="288" spans="1:8" ht="15" hidden="1" customHeight="1" x14ac:dyDescent="0.35">
      <c r="A288" s="6" t="str">
        <f>MID(C288,2,FIND(")",C288,1)-5)</f>
        <v xml:space="preserve">38.22 </v>
      </c>
      <c r="B288" t="str">
        <f>IF(ISNUMBER(FIND("[PASSED]",C288,1)),"PASSED","FAILED")</f>
        <v>PASSED</v>
      </c>
      <c r="C288" s="19" t="s">
        <v>83</v>
      </c>
      <c r="D288" s="6"/>
      <c r="G288" s="13">
        <v>38</v>
      </c>
      <c r="H288" s="13">
        <v>22</v>
      </c>
    </row>
    <row r="289" spans="1:8" ht="15" hidden="1" customHeight="1" x14ac:dyDescent="0.35">
      <c r="A289" s="6" t="str">
        <f>MID(C289,2,FIND(")",C289,1)-5)</f>
        <v xml:space="preserve">38.23 </v>
      </c>
      <c r="B289" t="str">
        <f>IF(ISNUMBER(FIND("[PASSED]",C289,1)),"PASSED","FAILED")</f>
        <v>PASSED</v>
      </c>
      <c r="C289" s="19" t="s">
        <v>148</v>
      </c>
      <c r="D289" s="6"/>
      <c r="G289" s="13">
        <v>38</v>
      </c>
      <c r="H289" s="13">
        <v>23</v>
      </c>
    </row>
    <row r="290" spans="1:8" ht="15" hidden="1" customHeight="1" x14ac:dyDescent="0.35">
      <c r="A290" s="6" t="str">
        <f>MID(C290,2,FIND(")",C290,1)-5)</f>
        <v xml:space="preserve">46.1 </v>
      </c>
      <c r="B290" t="str">
        <f>IF(ISNUMBER(FIND("[PASSED]",C290,1)),"PASSED","FAILED")</f>
        <v>PASSED</v>
      </c>
      <c r="C290" s="19" t="s">
        <v>201</v>
      </c>
      <c r="D290" s="6"/>
      <c r="G290" s="13">
        <v>46</v>
      </c>
      <c r="H290" s="13">
        <v>1</v>
      </c>
    </row>
    <row r="291" spans="1:8" ht="15" hidden="1" customHeight="1" x14ac:dyDescent="0.35">
      <c r="A291" s="6" t="str">
        <f>MID(C291,2,FIND(")",C291,1)-5)</f>
        <v xml:space="preserve">47.1 </v>
      </c>
      <c r="B291" t="str">
        <f>IF(ISNUMBER(FIND("[PASSED]",C291,1)),"PASSED","FAILED")</f>
        <v>PASSED</v>
      </c>
      <c r="C291" s="19" t="s">
        <v>431</v>
      </c>
      <c r="D291" s="6"/>
      <c r="G291" s="13">
        <v>47</v>
      </c>
      <c r="H291" s="13">
        <v>1</v>
      </c>
    </row>
    <row r="292" spans="1:8" ht="15" hidden="1" customHeight="1" x14ac:dyDescent="0.35">
      <c r="A292" s="6" t="str">
        <f>MID(C292,2,FIND(")",C292,1)-5)</f>
        <v xml:space="preserve">49.1 </v>
      </c>
      <c r="B292" t="str">
        <f>IF(ISNUMBER(FIND("[PASSED]",C292,1)),"PASSED","FAILED")</f>
        <v>PASSED</v>
      </c>
      <c r="C292" s="19" t="s">
        <v>198</v>
      </c>
      <c r="G292" s="13">
        <v>49</v>
      </c>
      <c r="H292" s="13">
        <v>1</v>
      </c>
    </row>
    <row r="293" spans="1:8" ht="15" hidden="1" customHeight="1" x14ac:dyDescent="0.35">
      <c r="A293" s="6" t="str">
        <f>MID(C293,2,FIND(")",C293,1)-5)</f>
        <v xml:space="preserve">49.2 </v>
      </c>
      <c r="B293" t="str">
        <f>IF(ISNUMBER(FIND("[PASSED]",C293,1)),"PASSED","FAILED")</f>
        <v>PASSED</v>
      </c>
      <c r="C293" s="19" t="s">
        <v>10</v>
      </c>
      <c r="D293" s="6"/>
      <c r="G293" s="13">
        <v>49</v>
      </c>
      <c r="H293" s="13">
        <v>2</v>
      </c>
    </row>
    <row r="294" spans="1:8" ht="15" hidden="1" customHeight="1" x14ac:dyDescent="0.35">
      <c r="A294" s="6" t="str">
        <f>MID(C294,2,FIND(")",C294,1)-5)</f>
        <v xml:space="preserve">49.3 </v>
      </c>
      <c r="B294" t="str">
        <f>IF(ISNUMBER(FIND("[PASSED]",C294,1)),"PASSED","FAILED")</f>
        <v>PASSED</v>
      </c>
      <c r="C294" s="19" t="s">
        <v>22</v>
      </c>
      <c r="G294" s="13">
        <v>49</v>
      </c>
      <c r="H294" s="13">
        <v>3</v>
      </c>
    </row>
    <row r="295" spans="1:8" ht="15" hidden="1" customHeight="1" x14ac:dyDescent="0.35">
      <c r="A295" s="6" t="str">
        <f>MID(C295,2,FIND(")",C295,1)-5)</f>
        <v xml:space="preserve">49.4 </v>
      </c>
      <c r="B295" t="str">
        <f>IF(ISNUMBER(FIND("[PASSED]",C295,1)),"PASSED","FAILED")</f>
        <v>PASSED</v>
      </c>
      <c r="C295" s="19" t="s">
        <v>200</v>
      </c>
      <c r="D295" s="6"/>
      <c r="G295" s="13">
        <v>49</v>
      </c>
      <c r="H295" s="13">
        <v>4</v>
      </c>
    </row>
    <row r="296" spans="1:8" ht="15" hidden="1" customHeight="1" x14ac:dyDescent="0.35">
      <c r="A296" s="6" t="str">
        <f>MID(C296,2,FIND(")",C296,1)-5)</f>
        <v xml:space="preserve">49.5 </v>
      </c>
      <c r="B296" t="str">
        <f>IF(ISNUMBER(FIND("[PASSED]",C296,1)),"PASSED","FAILED")</f>
        <v>PASSED</v>
      </c>
      <c r="C296" s="19" t="s">
        <v>367</v>
      </c>
      <c r="D296" s="6"/>
      <c r="G296" s="13">
        <v>49</v>
      </c>
      <c r="H296" s="13">
        <v>5</v>
      </c>
    </row>
    <row r="297" spans="1:8" ht="15" customHeight="1" x14ac:dyDescent="0.35">
      <c r="A297" s="6" t="str">
        <f>MID(C297,2,FIND(")",C297,1)-5)</f>
        <v xml:space="preserve">49.6 </v>
      </c>
      <c r="B297" t="str">
        <f>IF(ISNUMBER(FIND("[PASSED]",C297,1)),"PASSED","FAILED")</f>
        <v>FAILED</v>
      </c>
      <c r="C297" s="19" t="s">
        <v>213</v>
      </c>
      <c r="D297" s="13" t="s">
        <v>331</v>
      </c>
      <c r="E297" s="6" t="s">
        <v>330</v>
      </c>
      <c r="F297" s="6" t="s">
        <v>474</v>
      </c>
      <c r="G297" s="13">
        <v>49</v>
      </c>
      <c r="H297" s="13">
        <v>6</v>
      </c>
    </row>
    <row r="298" spans="1:8" ht="15" customHeight="1" x14ac:dyDescent="0.35">
      <c r="A298" s="6" t="str">
        <f>MID(C298,2,FIND(")",C298,1)-5)</f>
        <v xml:space="preserve">49.7 </v>
      </c>
      <c r="B298" t="str">
        <f>IF(ISNUMBER(FIND("[PASSED]",C298,1)),"PASSED","FAILED")</f>
        <v>FAILED</v>
      </c>
      <c r="C298" s="19" t="s">
        <v>183</v>
      </c>
      <c r="D298" s="13" t="s">
        <v>480</v>
      </c>
      <c r="E298" s="6" t="s">
        <v>330</v>
      </c>
      <c r="F298" s="6" t="s">
        <v>474</v>
      </c>
      <c r="G298" s="13">
        <v>49</v>
      </c>
      <c r="H298" s="13">
        <v>7</v>
      </c>
    </row>
    <row r="299" spans="1:8" ht="15" hidden="1" customHeight="1" x14ac:dyDescent="0.35">
      <c r="A299" s="6" t="str">
        <f>MID(C299,2,FIND(")",C299,1)-5)</f>
        <v xml:space="preserve">49.8 </v>
      </c>
      <c r="B299" t="str">
        <f>IF(ISNUMBER(FIND("[PASSED]",C299,1)),"PASSED","FAILED")</f>
        <v>PASSED</v>
      </c>
      <c r="C299" s="19" t="s">
        <v>366</v>
      </c>
      <c r="D299" s="6"/>
      <c r="G299" s="13">
        <v>49</v>
      </c>
      <c r="H299" s="13">
        <v>8</v>
      </c>
    </row>
    <row r="300" spans="1:8" ht="15" hidden="1" customHeight="1" x14ac:dyDescent="0.35">
      <c r="A300" s="6" t="str">
        <f>MID(C300,2,FIND(")",C300,1)-5)</f>
        <v xml:space="preserve">49.9 </v>
      </c>
      <c r="B300" t="str">
        <f>IF(ISNUMBER(FIND("[PASSED]",C300,1)),"PASSED","FAILED")</f>
        <v>PASSED</v>
      </c>
      <c r="C300" s="19" t="s">
        <v>505</v>
      </c>
      <c r="G300" s="13">
        <v>49</v>
      </c>
      <c r="H300" s="13">
        <v>9</v>
      </c>
    </row>
    <row r="301" spans="1:8" ht="15" hidden="1" customHeight="1" x14ac:dyDescent="0.35">
      <c r="A301" s="6" t="str">
        <f>MID(C301,2,FIND(")",C301,1)-5)</f>
        <v xml:space="preserve">49.10 </v>
      </c>
      <c r="B301" t="str">
        <f>IF(ISNUMBER(FIND("[PASSED]",C301,1)),"PASSED","FAILED")</f>
        <v>PASSED</v>
      </c>
      <c r="C301" s="19" t="s">
        <v>506</v>
      </c>
      <c r="D301" s="6"/>
      <c r="G301" s="13">
        <v>49</v>
      </c>
      <c r="H301" s="13">
        <v>10</v>
      </c>
    </row>
    <row r="302" spans="1:8" ht="15" hidden="1" customHeight="1" x14ac:dyDescent="0.35">
      <c r="A302" s="6" t="str">
        <f>MID(C302,2,FIND(")",C302,1)-5)</f>
        <v xml:space="preserve">49.11 </v>
      </c>
      <c r="B302" t="str">
        <f>IF(ISNUMBER(FIND("[PASSED]",C302,1)),"PASSED","FAILED")</f>
        <v>PASSED</v>
      </c>
      <c r="C302" s="19" t="s">
        <v>336</v>
      </c>
      <c r="D302" s="6"/>
      <c r="G302" s="13">
        <v>49</v>
      </c>
      <c r="H302" s="13">
        <v>11</v>
      </c>
    </row>
    <row r="303" spans="1:8" ht="15" hidden="1" customHeight="1" x14ac:dyDescent="0.35">
      <c r="A303" s="6" t="str">
        <f>MID(C303,2,FIND(")",C303,1)-5)</f>
        <v xml:space="preserve">49.12 </v>
      </c>
      <c r="B303" t="str">
        <f>IF(ISNUMBER(FIND("[PASSED]",C303,1)),"PASSED","FAILED")</f>
        <v>PASSED</v>
      </c>
      <c r="C303" s="19" t="s">
        <v>264</v>
      </c>
      <c r="G303" s="13">
        <v>49</v>
      </c>
      <c r="H303" s="13">
        <v>12</v>
      </c>
    </row>
    <row r="304" spans="1:8" ht="15" hidden="1" customHeight="1" x14ac:dyDescent="0.35">
      <c r="A304" s="6" t="str">
        <f>MID(C304,2,FIND(")",C304,1)-5)</f>
        <v xml:space="preserve">49.13 </v>
      </c>
      <c r="B304" t="str">
        <f>IF(ISNUMBER(FIND("[PASSED]",C304,1)),"PASSED","FAILED")</f>
        <v>PASSED</v>
      </c>
      <c r="C304" s="19" t="s">
        <v>234</v>
      </c>
      <c r="D304" s="6"/>
      <c r="G304" s="13">
        <v>49</v>
      </c>
      <c r="H304" s="13">
        <v>13</v>
      </c>
    </row>
    <row r="305" spans="1:8" ht="15" hidden="1" customHeight="1" x14ac:dyDescent="0.35">
      <c r="A305" s="6" t="str">
        <f>MID(C305,2,FIND(")",C305,1)-5)</f>
        <v xml:space="preserve">49.14 </v>
      </c>
      <c r="B305" t="str">
        <f>IF(ISNUMBER(FIND("[PASSED]",C305,1)),"PASSED","FAILED")</f>
        <v>PASSED</v>
      </c>
      <c r="C305" s="19" t="s">
        <v>44</v>
      </c>
      <c r="D305" s="18"/>
      <c r="G305" s="13">
        <v>49</v>
      </c>
      <c r="H305" s="13">
        <v>14</v>
      </c>
    </row>
    <row r="306" spans="1:8" ht="15" hidden="1" customHeight="1" x14ac:dyDescent="0.35">
      <c r="A306" s="6" t="str">
        <f>MID(C306,2,FIND(")",C306,1)-5)</f>
        <v xml:space="preserve">49.15 </v>
      </c>
      <c r="B306" t="str">
        <f>IF(ISNUMBER(FIND("[PASSED]",C306,1)),"PASSED","FAILED")</f>
        <v>PASSED</v>
      </c>
      <c r="C306" s="19" t="s">
        <v>128</v>
      </c>
      <c r="D306" s="6"/>
      <c r="G306" s="13">
        <v>49</v>
      </c>
      <c r="H306" s="13">
        <v>15</v>
      </c>
    </row>
    <row r="307" spans="1:8" ht="15" hidden="1" customHeight="1" x14ac:dyDescent="0.35">
      <c r="A307" s="6" t="str">
        <f>MID(C307,2,FIND(")",C307,1)-5)</f>
        <v xml:space="preserve">49.16 </v>
      </c>
      <c r="B307" t="str">
        <f>IF(ISNUMBER(FIND("[PASSED]",C307,1)),"PASSED","FAILED")</f>
        <v>PASSED</v>
      </c>
      <c r="C307" s="19" t="s">
        <v>208</v>
      </c>
      <c r="D307" s="6"/>
      <c r="G307" s="13">
        <v>49</v>
      </c>
      <c r="H307" s="13">
        <v>16</v>
      </c>
    </row>
    <row r="308" spans="1:8" ht="15" hidden="1" customHeight="1" x14ac:dyDescent="0.35">
      <c r="A308" s="6" t="str">
        <f>MID(C308,2,FIND(")",C308,1)-5)</f>
        <v xml:space="preserve">49.17 </v>
      </c>
      <c r="B308" t="str">
        <f>IF(ISNUMBER(FIND("[PASSED]",C308,1)),"PASSED","FAILED")</f>
        <v>PASSED</v>
      </c>
      <c r="C308" s="19" t="s">
        <v>157</v>
      </c>
      <c r="D308" s="6"/>
      <c r="G308" s="13">
        <v>49</v>
      </c>
      <c r="H308" s="13">
        <v>17</v>
      </c>
    </row>
    <row r="309" spans="1:8" ht="15" hidden="1" customHeight="1" x14ac:dyDescent="0.35">
      <c r="A309" s="6" t="str">
        <f>MID(C309,2,FIND(")",C309,1)-5)</f>
        <v xml:space="preserve">49.18 </v>
      </c>
      <c r="B309" t="str">
        <f>IF(ISNUMBER(FIND("[PASSED]",C309,1)),"PASSED","FAILED")</f>
        <v>PASSED</v>
      </c>
      <c r="C309" s="19" t="s">
        <v>158</v>
      </c>
      <c r="D309" s="6"/>
      <c r="G309" s="13">
        <v>49</v>
      </c>
      <c r="H309" s="13">
        <v>18</v>
      </c>
    </row>
    <row r="310" spans="1:8" ht="15" hidden="1" customHeight="1" x14ac:dyDescent="0.35">
      <c r="A310" s="6" t="str">
        <f>MID(C310,2,FIND(")",C310,1)-5)</f>
        <v xml:space="preserve">49.19 </v>
      </c>
      <c r="B310" t="str">
        <f>IF(ISNUMBER(FIND("[PASSED]",C310,1)),"PASSED","FAILED")</f>
        <v>PASSED</v>
      </c>
      <c r="C310" s="19" t="s">
        <v>191</v>
      </c>
      <c r="G310" s="13">
        <v>49</v>
      </c>
      <c r="H310" s="13">
        <v>19</v>
      </c>
    </row>
    <row r="311" spans="1:8" ht="15" hidden="1" customHeight="1" x14ac:dyDescent="0.35">
      <c r="A311" s="6" t="str">
        <f>MID(C311,2,FIND(")",C311,1)-5)</f>
        <v xml:space="preserve">49.20 </v>
      </c>
      <c r="B311" t="str">
        <f>IF(ISNUMBER(FIND("[PASSED]",C311,1)),"PASSED","FAILED")</f>
        <v>PASSED</v>
      </c>
      <c r="C311" s="19" t="s">
        <v>205</v>
      </c>
      <c r="D311" s="6"/>
      <c r="G311" s="13">
        <v>49</v>
      </c>
      <c r="H311" s="13">
        <v>20</v>
      </c>
    </row>
    <row r="312" spans="1:8" ht="15" hidden="1" customHeight="1" x14ac:dyDescent="0.35">
      <c r="A312" s="6" t="str">
        <f>MID(C312,2,FIND(")",C312,1)-5)</f>
        <v xml:space="preserve">49.21 </v>
      </c>
      <c r="B312" t="str">
        <f>IF(ISNUMBER(FIND("[PASSED]",C312,1)),"PASSED","FAILED")</f>
        <v>PASSED</v>
      </c>
      <c r="C312" s="19" t="s">
        <v>120</v>
      </c>
      <c r="D312" s="6"/>
      <c r="G312" s="13">
        <v>49</v>
      </c>
      <c r="H312" s="13">
        <v>21</v>
      </c>
    </row>
    <row r="313" spans="1:8" ht="15" hidden="1" customHeight="1" x14ac:dyDescent="0.35">
      <c r="A313" s="6" t="str">
        <f>MID(C313,2,FIND(")",C313,1)-5)</f>
        <v xml:space="preserve">49.22 </v>
      </c>
      <c r="B313" t="str">
        <f>IF(ISNUMBER(FIND("[PASSED]",C313,1)),"PASSED","FAILED")</f>
        <v>PASSED</v>
      </c>
      <c r="C313" s="19" t="s">
        <v>144</v>
      </c>
      <c r="D313" s="6"/>
      <c r="G313" s="13">
        <v>49</v>
      </c>
      <c r="H313" s="13">
        <v>22</v>
      </c>
    </row>
    <row r="314" spans="1:8" ht="15" hidden="1" customHeight="1" x14ac:dyDescent="0.35">
      <c r="A314" s="6" t="str">
        <f>MID(C314,2,FIND(")",C314,1)-5)</f>
        <v xml:space="preserve">49.23 </v>
      </c>
      <c r="B314" t="str">
        <f>IF(ISNUMBER(FIND("[PASSED]",C314,1)),"PASSED","FAILED")</f>
        <v>PASSED</v>
      </c>
      <c r="C314" s="19" t="s">
        <v>55</v>
      </c>
      <c r="D314" s="6"/>
      <c r="G314" s="13">
        <v>49</v>
      </c>
      <c r="H314" s="13">
        <v>23</v>
      </c>
    </row>
    <row r="315" spans="1:8" ht="15" hidden="1" customHeight="1" x14ac:dyDescent="0.35">
      <c r="A315" s="6" t="str">
        <f>MID(C315,2,FIND(")",C315,1)-5)</f>
        <v xml:space="preserve">49.24 </v>
      </c>
      <c r="B315" t="str">
        <f>IF(ISNUMBER(FIND("[PASSED]",C315,1)),"PASSED","FAILED")</f>
        <v>PASSED</v>
      </c>
      <c r="C315" s="19" t="s">
        <v>65</v>
      </c>
      <c r="D315" s="6"/>
      <c r="G315" s="13">
        <v>49</v>
      </c>
      <c r="H315" s="13">
        <v>24</v>
      </c>
    </row>
    <row r="316" spans="1:8" ht="15" hidden="1" customHeight="1" x14ac:dyDescent="0.35">
      <c r="A316" s="6" t="str">
        <f>MID(C316,2,FIND(")",C316,1)-5)</f>
        <v xml:space="preserve">49.25 </v>
      </c>
      <c r="B316" t="str">
        <f>IF(ISNUMBER(FIND("[PASSED]",C316,1)),"PASSED","FAILED")</f>
        <v>PASSED</v>
      </c>
      <c r="C316" s="19" t="s">
        <v>311</v>
      </c>
      <c r="D316" s="6"/>
      <c r="G316" s="13">
        <v>49</v>
      </c>
      <c r="H316" s="13">
        <v>25</v>
      </c>
    </row>
    <row r="317" spans="1:8" ht="15" hidden="1" customHeight="1" x14ac:dyDescent="0.35">
      <c r="A317" s="6" t="str">
        <f>MID(C317,2,FIND(")",C317,1)-5)</f>
        <v xml:space="preserve">49.26 </v>
      </c>
      <c r="B317" t="str">
        <f>IF(ISNUMBER(FIND("[PASSED]",C317,1)),"PASSED","FAILED")</f>
        <v>PASSED</v>
      </c>
      <c r="C317" s="19" t="s">
        <v>54</v>
      </c>
      <c r="G317" s="13">
        <v>49</v>
      </c>
      <c r="H317" s="13">
        <v>26</v>
      </c>
    </row>
    <row r="318" spans="1:8" ht="15" hidden="1" customHeight="1" x14ac:dyDescent="0.35">
      <c r="A318" s="6" t="str">
        <f>MID(C318,2,FIND(")",C318,1)-5)</f>
        <v xml:space="preserve">49.27 </v>
      </c>
      <c r="B318" t="str">
        <f>IF(ISNUMBER(FIND("[PASSED]",C318,1)),"PASSED","FAILED")</f>
        <v>PASSED</v>
      </c>
      <c r="C318" s="19" t="s">
        <v>165</v>
      </c>
      <c r="D318" s="6"/>
      <c r="G318" s="13">
        <v>49</v>
      </c>
      <c r="H318" s="13">
        <v>27</v>
      </c>
    </row>
    <row r="319" spans="1:8" ht="15" hidden="1" customHeight="1" x14ac:dyDescent="0.35">
      <c r="A319" s="6" t="str">
        <f>MID(C319,2,FIND(")",C319,1)-5)</f>
        <v xml:space="preserve">49.28 </v>
      </c>
      <c r="B319" t="str">
        <f>IF(ISNUMBER(FIND("[PASSED]",C319,1)),"PASSED","FAILED")</f>
        <v>PASSED</v>
      </c>
      <c r="C319" s="19" t="s">
        <v>123</v>
      </c>
      <c r="D319" s="6"/>
      <c r="G319" s="13">
        <v>49</v>
      </c>
      <c r="H319" s="13">
        <v>28</v>
      </c>
    </row>
    <row r="320" spans="1:8" ht="15" customHeight="1" x14ac:dyDescent="0.35">
      <c r="A320" s="6" t="str">
        <f>MID(C320,2,FIND(")",C320,1)-5)</f>
        <v xml:space="preserve">49.29 </v>
      </c>
      <c r="B320" t="str">
        <f>IF(ISNUMBER(FIND("[PASSED]",C320,1)),"PASSED","FAILED")</f>
        <v>FAILED</v>
      </c>
      <c r="C320" s="19" t="s">
        <v>295</v>
      </c>
      <c r="D320" s="13" t="s">
        <v>481</v>
      </c>
      <c r="E320" s="6" t="s">
        <v>330</v>
      </c>
      <c r="F320" s="6" t="s">
        <v>474</v>
      </c>
      <c r="G320" s="13">
        <v>49</v>
      </c>
      <c r="H320" s="13">
        <v>29</v>
      </c>
    </row>
    <row r="321" spans="1:8" ht="15" hidden="1" customHeight="1" x14ac:dyDescent="0.35">
      <c r="A321" s="6" t="str">
        <f>MID(C321,2,FIND(")",C321,1)-5)</f>
        <v xml:space="preserve">49.30 </v>
      </c>
      <c r="B321" t="str">
        <f>IF(ISNUMBER(FIND("[PASSED]",C321,1)),"PASSED","FAILED")</f>
        <v>PASSED</v>
      </c>
      <c r="C321" s="19" t="s">
        <v>210</v>
      </c>
      <c r="D321" s="6"/>
      <c r="G321" s="13">
        <v>49</v>
      </c>
      <c r="H321" s="13">
        <v>30</v>
      </c>
    </row>
    <row r="322" spans="1:8" ht="15" hidden="1" customHeight="1" x14ac:dyDescent="0.35">
      <c r="A322" s="6" t="str">
        <f>MID(C322,2,FIND(")",C322,1)-5)</f>
        <v xml:space="preserve">49.31 </v>
      </c>
      <c r="B322" t="str">
        <f>IF(ISNUMBER(FIND("[PASSED]",C322,1)),"PASSED","FAILED")</f>
        <v>PASSED</v>
      </c>
      <c r="C322" s="19" t="s">
        <v>227</v>
      </c>
      <c r="D322" s="6"/>
      <c r="G322" s="13">
        <v>49</v>
      </c>
      <c r="H322" s="13">
        <v>31</v>
      </c>
    </row>
    <row r="323" spans="1:8" ht="15" hidden="1" customHeight="1" x14ac:dyDescent="0.35">
      <c r="A323" s="6" t="str">
        <f>MID(C323,2,FIND(")",C323,1)-5)</f>
        <v xml:space="preserve">49.32 </v>
      </c>
      <c r="B323" t="str">
        <f>IF(ISNUMBER(FIND("[PASSED]",C323,1)),"PASSED","FAILED")</f>
        <v>PASSED</v>
      </c>
      <c r="C323" s="19" t="s">
        <v>168</v>
      </c>
      <c r="D323" s="6"/>
      <c r="G323" s="13">
        <v>49</v>
      </c>
      <c r="H323" s="13">
        <v>32</v>
      </c>
    </row>
    <row r="324" spans="1:8" ht="15" hidden="1" customHeight="1" x14ac:dyDescent="0.35">
      <c r="A324" s="6" t="str">
        <f>MID(C324,2,FIND(")",C324,1)-5)</f>
        <v xml:space="preserve">49.33 </v>
      </c>
      <c r="B324" t="str">
        <f>IF(ISNUMBER(FIND("[PASSED]",C324,1)),"PASSED","FAILED")</f>
        <v>PASSED</v>
      </c>
      <c r="C324" s="19" t="s">
        <v>241</v>
      </c>
      <c r="D324" s="6"/>
      <c r="G324" s="13">
        <v>49</v>
      </c>
      <c r="H324" s="13">
        <v>33</v>
      </c>
    </row>
    <row r="325" spans="1:8" ht="15" hidden="1" customHeight="1" x14ac:dyDescent="0.35">
      <c r="A325" s="6" t="str">
        <f>MID(C325,2,FIND(")",C325,1)-5)</f>
        <v xml:space="preserve">49.34 </v>
      </c>
      <c r="B325" t="str">
        <f>IF(ISNUMBER(FIND("[PASSED]",C325,1)),"PASSED","FAILED")</f>
        <v>PASSED</v>
      </c>
      <c r="C325" s="19" t="s">
        <v>190</v>
      </c>
      <c r="D325" s="6"/>
      <c r="G325" s="13">
        <v>49</v>
      </c>
      <c r="H325" s="13">
        <v>34</v>
      </c>
    </row>
    <row r="326" spans="1:8" ht="15" hidden="1" customHeight="1" x14ac:dyDescent="0.35">
      <c r="A326" s="6" t="str">
        <f>MID(C326,2,FIND(")",C326,1)-5)</f>
        <v xml:space="preserve">49.35 </v>
      </c>
      <c r="B326" t="str">
        <f>IF(ISNUMBER(FIND("[PASSED]",C326,1)),"PASSED","FAILED")</f>
        <v>PASSED</v>
      </c>
      <c r="C326" s="19" t="s">
        <v>93</v>
      </c>
      <c r="D326" s="6"/>
      <c r="G326" s="13">
        <v>49</v>
      </c>
      <c r="H326" s="13">
        <v>35</v>
      </c>
    </row>
    <row r="327" spans="1:8" ht="15" hidden="1" customHeight="1" x14ac:dyDescent="0.35">
      <c r="A327" s="6" t="str">
        <f>MID(C327,2,FIND(")",C327,1)-5)</f>
        <v xml:space="preserve">50.1 </v>
      </c>
      <c r="B327" t="str">
        <f>IF(ISNUMBER(FIND("[PASSED]",C327,1)),"PASSED","FAILED")</f>
        <v>PASSED</v>
      </c>
      <c r="C327" s="19" t="s">
        <v>24</v>
      </c>
      <c r="D327" s="6"/>
      <c r="G327" s="13">
        <v>50</v>
      </c>
      <c r="H327" s="13">
        <v>1</v>
      </c>
    </row>
    <row r="328" spans="1:8" ht="15" hidden="1" customHeight="1" x14ac:dyDescent="0.35">
      <c r="A328" s="6" t="str">
        <f>MID(C328,2,FIND(")",C328,1)-5)</f>
        <v xml:space="preserve">54.1 </v>
      </c>
      <c r="B328" t="str">
        <f>IF(ISNUMBER(FIND("[PASSED]",C328,1)),"PASSED","FAILED")</f>
        <v>PASSED</v>
      </c>
      <c r="C328" s="19" t="s">
        <v>409</v>
      </c>
      <c r="D328" s="6"/>
      <c r="G328" s="13">
        <v>54</v>
      </c>
      <c r="H328" s="13">
        <v>1</v>
      </c>
    </row>
    <row r="329" spans="1:8" ht="15" hidden="1" customHeight="1" x14ac:dyDescent="0.35">
      <c r="A329" s="6" t="str">
        <f>MID(C329,2,FIND(")",C329,1)-5)</f>
        <v xml:space="preserve">55.1 </v>
      </c>
      <c r="B329" t="str">
        <f>IF(ISNUMBER(FIND("[PASSED]",C329,1)),"PASSED","FAILED")</f>
        <v>PASSED</v>
      </c>
      <c r="C329" s="19" t="s">
        <v>137</v>
      </c>
      <c r="D329" s="6"/>
      <c r="G329" s="13">
        <v>55</v>
      </c>
      <c r="H329" s="13">
        <v>1</v>
      </c>
    </row>
    <row r="330" spans="1:8" ht="15" hidden="1" customHeight="1" x14ac:dyDescent="0.35">
      <c r="A330" s="6" t="str">
        <f>MID(C330,2,FIND(")",C330,1)-5)</f>
        <v xml:space="preserve">55.2 </v>
      </c>
      <c r="B330" t="str">
        <f>IF(ISNUMBER(FIND("[PASSED]",C330,1)),"PASSED","FAILED")</f>
        <v>PASSED</v>
      </c>
      <c r="C330" s="19" t="s">
        <v>166</v>
      </c>
      <c r="D330" s="6"/>
      <c r="G330" s="13">
        <v>55</v>
      </c>
      <c r="H330" s="13">
        <v>2</v>
      </c>
    </row>
    <row r="331" spans="1:8" ht="15" hidden="1" customHeight="1" x14ac:dyDescent="0.35">
      <c r="A331" s="6" t="str">
        <f>MID(C331,2,FIND(")",C331,1)-5)</f>
        <v xml:space="preserve">55.3 </v>
      </c>
      <c r="B331" t="str">
        <f>IF(ISNUMBER(FIND("[PASSED]",C331,1)),"PASSED","FAILED")</f>
        <v>PASSED</v>
      </c>
      <c r="C331" s="19" t="s">
        <v>463</v>
      </c>
      <c r="D331" s="6"/>
      <c r="G331" s="13">
        <v>55</v>
      </c>
      <c r="H331" s="13">
        <v>3</v>
      </c>
    </row>
    <row r="332" spans="1:8" ht="15" hidden="1" customHeight="1" x14ac:dyDescent="0.35">
      <c r="A332" s="6" t="str">
        <f>MID(C332,2,FIND(")",C332,1)-5)</f>
        <v xml:space="preserve">55.4 </v>
      </c>
      <c r="B332" t="str">
        <f>IF(ISNUMBER(FIND("[PASSED]",C332,1)),"PASSED","FAILED")</f>
        <v>PASSED</v>
      </c>
      <c r="C332" s="19" t="s">
        <v>374</v>
      </c>
      <c r="D332" s="6"/>
      <c r="G332" s="13">
        <v>55</v>
      </c>
      <c r="H332" s="13">
        <v>4</v>
      </c>
    </row>
    <row r="333" spans="1:8" ht="15" customHeight="1" x14ac:dyDescent="0.35">
      <c r="A333" s="6" t="str">
        <f>MID(C333,2,FIND(")",C333,1)-5)</f>
        <v xml:space="preserve">55.5 </v>
      </c>
      <c r="B333" t="str">
        <f>IF(ISNUMBER(FIND("[PASSED]",C333,1)),"PASSED","FAILED")</f>
        <v>FAILED</v>
      </c>
      <c r="C333" s="19" t="s">
        <v>405</v>
      </c>
      <c r="D333" s="13" t="s">
        <v>482</v>
      </c>
      <c r="E333" s="6" t="s">
        <v>330</v>
      </c>
      <c r="F333" s="6" t="s">
        <v>474</v>
      </c>
      <c r="G333" s="13">
        <v>55</v>
      </c>
      <c r="H333" s="13">
        <v>5</v>
      </c>
    </row>
    <row r="334" spans="1:8" ht="15" hidden="1" customHeight="1" x14ac:dyDescent="0.35">
      <c r="A334" s="6" t="str">
        <f>MID(C334,2,FIND(")",C334,1)-5)</f>
        <v xml:space="preserve">55.6 </v>
      </c>
      <c r="B334" t="str">
        <f>IF(ISNUMBER(FIND("[PASSED]",C334,1)),"PASSED","FAILED")</f>
        <v>PASSED</v>
      </c>
      <c r="C334" s="19" t="s">
        <v>204</v>
      </c>
      <c r="D334" s="6"/>
      <c r="G334" s="13">
        <v>55</v>
      </c>
      <c r="H334" s="13">
        <v>6</v>
      </c>
    </row>
    <row r="335" spans="1:8" ht="15" hidden="1" customHeight="1" x14ac:dyDescent="0.35">
      <c r="A335" s="6" t="str">
        <f>MID(C335,2,FIND(")",C335,1)-5)</f>
        <v xml:space="preserve">55.7 </v>
      </c>
      <c r="B335" t="str">
        <f>IF(ISNUMBER(FIND("[PASSED]",C335,1)),"PASSED","FAILED")</f>
        <v>PASSED</v>
      </c>
      <c r="C335" s="19" t="s">
        <v>288</v>
      </c>
      <c r="D335" s="6"/>
      <c r="G335" s="13">
        <v>55</v>
      </c>
      <c r="H335" s="13">
        <v>7</v>
      </c>
    </row>
    <row r="336" spans="1:8" ht="15" hidden="1" customHeight="1" x14ac:dyDescent="0.35">
      <c r="A336" s="6" t="str">
        <f>MID(C336,2,FIND(")",C336,1)-5)</f>
        <v xml:space="preserve">55.8 </v>
      </c>
      <c r="B336" t="str">
        <f>IF(ISNUMBER(FIND("[PASSED]",C336,1)),"PASSED","FAILED")</f>
        <v>PASSED</v>
      </c>
      <c r="C336" s="19" t="s">
        <v>85</v>
      </c>
      <c r="D336" s="6"/>
      <c r="G336" s="13">
        <v>55</v>
      </c>
      <c r="H336" s="13">
        <v>8</v>
      </c>
    </row>
    <row r="337" spans="1:9" ht="15" customHeight="1" x14ac:dyDescent="0.35">
      <c r="A337" s="6" t="str">
        <f>MID(C337,2,FIND(")",C337,1)-5)</f>
        <v xml:space="preserve">61.1 </v>
      </c>
      <c r="B337" t="str">
        <f>IF(ISNUMBER(FIND("[PASSED]",C337,1)),"PASSED","FAILED")</f>
        <v>FAILED</v>
      </c>
      <c r="C337" s="19" t="s">
        <v>369</v>
      </c>
      <c r="D337" s="13" t="s">
        <v>483</v>
      </c>
      <c r="E337" s="6" t="s">
        <v>330</v>
      </c>
      <c r="F337" s="6" t="s">
        <v>474</v>
      </c>
      <c r="G337" s="13">
        <v>61</v>
      </c>
      <c r="H337" s="13">
        <v>1</v>
      </c>
    </row>
    <row r="338" spans="1:9" ht="15" hidden="1" customHeight="1" x14ac:dyDescent="0.35">
      <c r="A338" s="6" t="str">
        <f>MID(C338,2,FIND(")",C338,1)-5)</f>
        <v xml:space="preserve">68.1 </v>
      </c>
      <c r="B338" t="str">
        <f>IF(ISNUMBER(FIND("[PASSED]",C338,1)),"PASSED","FAILED")</f>
        <v>PASSED</v>
      </c>
      <c r="C338" s="19" t="s">
        <v>361</v>
      </c>
      <c r="D338" s="6"/>
      <c r="G338" s="13">
        <v>68</v>
      </c>
      <c r="H338" s="13">
        <v>1</v>
      </c>
    </row>
    <row r="339" spans="1:9" ht="15" hidden="1" customHeight="1" x14ac:dyDescent="0.35">
      <c r="A339" s="6" t="str">
        <f>MID(C339,2,FIND(")",C339,1)-5)</f>
        <v xml:space="preserve">68.2 </v>
      </c>
      <c r="B339" t="str">
        <f>IF(ISNUMBER(FIND("[PASSED]",C339,1)),"PASSED","FAILED")</f>
        <v>PASSED</v>
      </c>
      <c r="C339" s="19" t="s">
        <v>263</v>
      </c>
      <c r="D339" s="6"/>
      <c r="G339" s="13">
        <v>68</v>
      </c>
      <c r="H339" s="13">
        <v>2</v>
      </c>
    </row>
    <row r="340" spans="1:9" ht="15" hidden="1" customHeight="1" x14ac:dyDescent="0.35">
      <c r="A340" s="6" t="str">
        <f>MID(C340,2,FIND(")",C340,1)-5)</f>
        <v xml:space="preserve">68.3 </v>
      </c>
      <c r="B340" t="str">
        <f>IF(ISNUMBER(FIND("[PASSED]",C340,1)),"PASSED","FAILED")</f>
        <v>PASSED</v>
      </c>
      <c r="C340" s="19" t="s">
        <v>346</v>
      </c>
      <c r="D340" s="6"/>
      <c r="G340" s="13">
        <v>68</v>
      </c>
      <c r="H340" s="13">
        <v>3</v>
      </c>
    </row>
    <row r="341" spans="1:9" ht="15" hidden="1" customHeight="1" x14ac:dyDescent="0.35">
      <c r="A341" s="6" t="str">
        <f>MID(C341,2,FIND(")",C341,1)-5)</f>
        <v xml:space="preserve">68.4 </v>
      </c>
      <c r="B341" t="str">
        <f>IF(ISNUMBER(FIND("[PASSED]",C341,1)),"PASSED","FAILED")</f>
        <v>PASSED</v>
      </c>
      <c r="C341" s="19" t="s">
        <v>354</v>
      </c>
      <c r="D341" s="6"/>
      <c r="G341" s="13">
        <v>68</v>
      </c>
      <c r="H341" s="13">
        <v>4</v>
      </c>
    </row>
    <row r="342" spans="1:9" ht="15" hidden="1" customHeight="1" x14ac:dyDescent="0.35">
      <c r="A342" s="6" t="str">
        <f>MID(C342,2,FIND(")",C342,1)-5)</f>
        <v xml:space="preserve">68.5 </v>
      </c>
      <c r="B342" t="str">
        <f>IF(ISNUMBER(FIND("[PASSED]",C342,1)),"PASSED","FAILED")</f>
        <v>PASSED</v>
      </c>
      <c r="C342" s="19" t="s">
        <v>372</v>
      </c>
      <c r="G342" s="13">
        <v>68</v>
      </c>
      <c r="H342" s="13">
        <v>5</v>
      </c>
    </row>
    <row r="343" spans="1:9" ht="15" hidden="1" customHeight="1" x14ac:dyDescent="0.35">
      <c r="A343" s="6" t="str">
        <f>MID(C343,2,FIND(")",C343,1)-5)</f>
        <v xml:space="preserve">72.1 </v>
      </c>
      <c r="B343" t="str">
        <f>IF(ISNUMBER(FIND("[PASSED]",C343,1)),"PASSED","FAILED")</f>
        <v>PASSED</v>
      </c>
      <c r="C343" s="19" t="s">
        <v>444</v>
      </c>
      <c r="G343" s="13">
        <v>72</v>
      </c>
      <c r="H343" s="13">
        <v>1</v>
      </c>
    </row>
    <row r="344" spans="1:9" ht="15" customHeight="1" x14ac:dyDescent="0.35">
      <c r="A344" s="6" t="str">
        <f>MID(C344,2,FIND(")",C344,1)-5)</f>
        <v xml:space="preserve">72.2 </v>
      </c>
      <c r="B344" t="str">
        <f>IF(ISNUMBER(FIND("[PASSED]",C344,1)),"PASSED","FAILED")</f>
        <v>FAILED</v>
      </c>
      <c r="C344" s="19" t="s">
        <v>171</v>
      </c>
      <c r="D344" s="13" t="s">
        <v>484</v>
      </c>
      <c r="E344" s="6" t="s">
        <v>330</v>
      </c>
      <c r="F344" s="6" t="s">
        <v>474</v>
      </c>
      <c r="G344" s="13">
        <v>72</v>
      </c>
      <c r="H344" s="13">
        <v>2</v>
      </c>
    </row>
    <row r="345" spans="1:9" ht="15" hidden="1" customHeight="1" x14ac:dyDescent="0.35">
      <c r="A345" s="6" t="str">
        <f>MID(C345,2,FIND(")",C345,1)-5)</f>
        <v xml:space="preserve">72.3 </v>
      </c>
      <c r="B345" t="str">
        <f>IF(ISNUMBER(FIND("[PASSED]",C345,1)),"PASSED","FAILED")</f>
        <v>PASSED</v>
      </c>
      <c r="C345" s="19" t="s">
        <v>296</v>
      </c>
      <c r="D345" s="6"/>
      <c r="G345" s="13">
        <v>72</v>
      </c>
      <c r="H345" s="13">
        <v>3</v>
      </c>
    </row>
    <row r="346" spans="1:9" ht="15" hidden="1" customHeight="1" x14ac:dyDescent="0.35">
      <c r="A346" s="6" t="str">
        <f>MID(C346,2,FIND(")",C346,1)-5)</f>
        <v xml:space="preserve">72.4 </v>
      </c>
      <c r="B346" t="str">
        <f>IF(ISNUMBER(FIND("[PASSED]",C346,1)),"PASSED","FAILED")</f>
        <v>PASSED</v>
      </c>
      <c r="C346" s="19" t="s">
        <v>388</v>
      </c>
      <c r="D346" s="6"/>
      <c r="G346" s="13">
        <v>72</v>
      </c>
      <c r="H346" s="13">
        <v>4</v>
      </c>
    </row>
    <row r="347" spans="1:9" ht="15" hidden="1" customHeight="1" x14ac:dyDescent="0.35">
      <c r="A347" s="6" t="str">
        <f>MID(C347,2,FIND(")",C347,1)-5)</f>
        <v xml:space="preserve">74.1 </v>
      </c>
      <c r="B347" t="str">
        <f>IF(ISNUMBER(FIND("[PASSED]",C347,1)),"PASSED","FAILED")</f>
        <v>PASSED</v>
      </c>
      <c r="C347" s="19" t="s">
        <v>429</v>
      </c>
      <c r="D347" s="6"/>
      <c r="G347" s="13">
        <v>74</v>
      </c>
      <c r="H347" s="13">
        <v>1</v>
      </c>
    </row>
    <row r="348" spans="1:9" ht="15" hidden="1" customHeight="1" x14ac:dyDescent="0.35">
      <c r="A348" s="6" t="str">
        <f>MID(C348,2,FIND(")",C348,1)-5)</f>
        <v xml:space="preserve">76.1.1 </v>
      </c>
      <c r="B348" t="str">
        <f>IF(ISNUMBER(FIND("[PASSED]",C348,1)),"PASSED","FAILED")</f>
        <v>PASSED</v>
      </c>
      <c r="C348" s="19" t="s">
        <v>290</v>
      </c>
      <c r="D348" s="6"/>
      <c r="G348" s="13">
        <v>76</v>
      </c>
      <c r="H348" s="13">
        <v>1</v>
      </c>
      <c r="I348" s="13">
        <v>1</v>
      </c>
    </row>
    <row r="349" spans="1:9" ht="15" hidden="1" customHeight="1" x14ac:dyDescent="0.35">
      <c r="A349" s="6" t="str">
        <f>MID(C349,2,FIND(")",C349,1)-5)</f>
        <v xml:space="preserve">76.1.2 </v>
      </c>
      <c r="B349" t="str">
        <f>IF(ISNUMBER(FIND("[PASSED]",C349,1)),"PASSED","FAILED")</f>
        <v>PASSED</v>
      </c>
      <c r="C349" s="19" t="s">
        <v>131</v>
      </c>
      <c r="D349" s="6"/>
      <c r="G349" s="13">
        <v>76</v>
      </c>
      <c r="H349" s="13">
        <v>1</v>
      </c>
      <c r="I349" s="13">
        <v>2</v>
      </c>
    </row>
    <row r="350" spans="1:9" ht="15" hidden="1" customHeight="1" x14ac:dyDescent="0.35">
      <c r="A350" s="6" t="str">
        <f>MID(C350,2,FIND(")",C350,1)-5)</f>
        <v xml:space="preserve">76.1.3 </v>
      </c>
      <c r="B350" t="str">
        <f>IF(ISNUMBER(FIND("[PASSED]",C350,1)),"PASSED","FAILED")</f>
        <v>PASSED</v>
      </c>
      <c r="C350" s="19" t="s">
        <v>269</v>
      </c>
      <c r="D350" s="6"/>
      <c r="G350" s="13">
        <v>76</v>
      </c>
      <c r="H350" s="13">
        <v>1</v>
      </c>
      <c r="I350" s="13">
        <v>3</v>
      </c>
    </row>
    <row r="351" spans="1:9" ht="15" hidden="1" customHeight="1" x14ac:dyDescent="0.35">
      <c r="A351" s="6" t="str">
        <f>MID(C351,2,FIND(")",C351,1)-5)</f>
        <v xml:space="preserve">76.1.4 </v>
      </c>
      <c r="B351" t="str">
        <f>IF(ISNUMBER(FIND("[PASSED]",C351,1)),"PASSED","FAILED")</f>
        <v>PASSED</v>
      </c>
      <c r="C351" s="19" t="s">
        <v>276</v>
      </c>
      <c r="D351" s="6"/>
      <c r="G351" s="13">
        <v>76</v>
      </c>
      <c r="H351" s="13">
        <v>1</v>
      </c>
      <c r="I351" s="13">
        <v>4</v>
      </c>
    </row>
    <row r="352" spans="1:9" ht="15" hidden="1" customHeight="1" x14ac:dyDescent="0.35">
      <c r="A352" s="6" t="str">
        <f>MID(C352,2,FIND(")",C352,1)-5)</f>
        <v xml:space="preserve">79.1 </v>
      </c>
      <c r="B352" t="str">
        <f>IF(ISNUMBER(FIND("[PASSED]",C352,1)),"PASSED","FAILED")</f>
        <v>PASSED</v>
      </c>
      <c r="C352" s="19" t="s">
        <v>239</v>
      </c>
      <c r="D352" s="6"/>
      <c r="G352" s="13">
        <v>79</v>
      </c>
      <c r="H352" s="13">
        <v>1</v>
      </c>
    </row>
    <row r="353" spans="1:8" ht="15" customHeight="1" x14ac:dyDescent="0.35">
      <c r="A353" s="6" t="str">
        <f>MID(C353,2,FIND(")",C353,1)-5)</f>
        <v xml:space="preserve">80.1 </v>
      </c>
      <c r="B353" t="str">
        <f>IF(ISNUMBER(FIND("[PASSED]",C353,1)),"PASSED","FAILED")</f>
        <v>FAILED</v>
      </c>
      <c r="C353" s="19" t="s">
        <v>345</v>
      </c>
      <c r="D353" s="13" t="s">
        <v>485</v>
      </c>
      <c r="E353" s="6" t="s">
        <v>330</v>
      </c>
      <c r="F353" s="6" t="s">
        <v>474</v>
      </c>
      <c r="G353" s="13">
        <v>80</v>
      </c>
      <c r="H353" s="13">
        <v>1</v>
      </c>
    </row>
    <row r="354" spans="1:8" ht="15" hidden="1" customHeight="1" x14ac:dyDescent="0.35">
      <c r="A354" s="6" t="str">
        <f>MID(C354,2,FIND(")",C354,1)-5)</f>
        <v xml:space="preserve">80.2 </v>
      </c>
      <c r="B354" t="str">
        <f>IF(ISNUMBER(FIND("[PASSED]",C354,1)),"PASSED","FAILED")</f>
        <v>PASSED</v>
      </c>
      <c r="C354" s="19" t="s">
        <v>379</v>
      </c>
      <c r="G354" s="13">
        <v>80</v>
      </c>
      <c r="H354" s="13">
        <v>2</v>
      </c>
    </row>
    <row r="355" spans="1:8" ht="15" hidden="1" customHeight="1" x14ac:dyDescent="0.35">
      <c r="A355" s="6" t="str">
        <f>MID(C355,2,FIND(")",C355,1)-5)</f>
        <v xml:space="preserve">80.3 </v>
      </c>
      <c r="B355" t="str">
        <f>IF(ISNUMBER(FIND("[PASSED]",C355,1)),"PASSED","FAILED")</f>
        <v>PASSED</v>
      </c>
      <c r="C355" s="19" t="s">
        <v>222</v>
      </c>
      <c r="D355" s="6"/>
      <c r="G355" s="13">
        <v>80</v>
      </c>
      <c r="H355" s="13">
        <v>3</v>
      </c>
    </row>
    <row r="356" spans="1:8" ht="15" hidden="1" customHeight="1" x14ac:dyDescent="0.35">
      <c r="A356" s="6" t="str">
        <f>MID(C356,2,FIND(")",C356,1)-5)</f>
        <v xml:space="preserve">80.4 </v>
      </c>
      <c r="B356" t="str">
        <f>IF(ISNUMBER(FIND("[PASSED]",C356,1)),"PASSED","FAILED")</f>
        <v>PASSED</v>
      </c>
      <c r="C356" s="19" t="s">
        <v>352</v>
      </c>
      <c r="D356" s="6"/>
      <c r="G356" s="13">
        <v>80</v>
      </c>
      <c r="H356" s="13">
        <v>4</v>
      </c>
    </row>
    <row r="357" spans="1:8" ht="15" customHeight="1" x14ac:dyDescent="0.35">
      <c r="A357" s="6" t="str">
        <f>MID(C357,2,FIND(")",C357,1)-5)</f>
        <v xml:space="preserve">80.5 </v>
      </c>
      <c r="B357" t="str">
        <f>IF(ISNUMBER(FIND("[PASSED]",C357,1)),"PASSED","FAILED")</f>
        <v>FAILED</v>
      </c>
      <c r="C357" s="19" t="s">
        <v>422</v>
      </c>
      <c r="D357" s="13" t="s">
        <v>486</v>
      </c>
      <c r="E357" s="6" t="s">
        <v>330</v>
      </c>
      <c r="F357" s="6" t="s">
        <v>474</v>
      </c>
      <c r="G357" s="13">
        <v>80</v>
      </c>
      <c r="H357" s="13">
        <v>5</v>
      </c>
    </row>
    <row r="358" spans="1:8" ht="15" hidden="1" customHeight="1" x14ac:dyDescent="0.35">
      <c r="A358" s="6" t="str">
        <f>MID(C358,2,FIND(")",C358,1)-5)</f>
        <v xml:space="preserve">80.6 </v>
      </c>
      <c r="B358" t="str">
        <f>IF(ISNUMBER(FIND("[PASSED]",C358,1)),"PASSED","FAILED")</f>
        <v>PASSED</v>
      </c>
      <c r="C358" s="19" t="s">
        <v>237</v>
      </c>
      <c r="D358" s="6"/>
      <c r="G358" s="13">
        <v>80</v>
      </c>
      <c r="H358" s="13">
        <v>6</v>
      </c>
    </row>
    <row r="359" spans="1:8" ht="15" hidden="1" customHeight="1" x14ac:dyDescent="0.35">
      <c r="A359" s="6" t="str">
        <f>MID(C359,2,FIND(")",C359,1)-5)</f>
        <v xml:space="preserve">80.7 </v>
      </c>
      <c r="B359" t="str">
        <f>IF(ISNUMBER(FIND("[PASSED]",C359,1)),"PASSED","FAILED")</f>
        <v>PASSED</v>
      </c>
      <c r="C359" s="19" t="s">
        <v>30</v>
      </c>
      <c r="D359" s="6"/>
      <c r="G359" s="13">
        <v>80</v>
      </c>
      <c r="H359" s="13">
        <v>7</v>
      </c>
    </row>
    <row r="360" spans="1:8" ht="15" hidden="1" customHeight="1" x14ac:dyDescent="0.35">
      <c r="A360" s="6" t="str">
        <f>MID(C360,2,FIND(")",C360,1)-5)</f>
        <v xml:space="preserve">80.8 </v>
      </c>
      <c r="B360" t="str">
        <f>IF(ISNUMBER(FIND("[PASSED]",C360,1)),"PASSED","FAILED")</f>
        <v>PASSED</v>
      </c>
      <c r="C360" s="19" t="s">
        <v>316</v>
      </c>
      <c r="G360" s="13">
        <v>80</v>
      </c>
      <c r="H360" s="13">
        <v>8</v>
      </c>
    </row>
    <row r="361" spans="1:8" ht="15" customHeight="1" x14ac:dyDescent="0.35">
      <c r="A361" s="6" t="str">
        <f>MID(C361,2,FIND(")",C361,1)-5)</f>
        <v xml:space="preserve">81.1 </v>
      </c>
      <c r="B361" t="str">
        <f>IF(ISNUMBER(FIND("[PASSED]",C361,1)),"PASSED","FAILED")</f>
        <v>FAILED</v>
      </c>
      <c r="C361" s="19" t="s">
        <v>462</v>
      </c>
      <c r="D361" s="13" t="s">
        <v>487</v>
      </c>
      <c r="E361" s="6" t="s">
        <v>330</v>
      </c>
      <c r="F361" s="6" t="s">
        <v>474</v>
      </c>
      <c r="G361" s="13">
        <v>81</v>
      </c>
      <c r="H361" s="13">
        <v>1</v>
      </c>
    </row>
    <row r="362" spans="1:8" ht="15" customHeight="1" x14ac:dyDescent="0.35">
      <c r="A362" s="6" t="str">
        <f>MID(C362,2,FIND(")",C362,1)-5)</f>
        <v xml:space="preserve">81.2 </v>
      </c>
      <c r="B362" t="str">
        <f>IF(ISNUMBER(FIND("[PASSED]",C362,1)),"PASSED","FAILED")</f>
        <v>FAILED</v>
      </c>
      <c r="C362" s="19" t="s">
        <v>432</v>
      </c>
      <c r="D362" s="13" t="s">
        <v>487</v>
      </c>
      <c r="E362" s="6" t="s">
        <v>330</v>
      </c>
      <c r="F362" s="6" t="s">
        <v>474</v>
      </c>
      <c r="G362" s="13">
        <v>81</v>
      </c>
      <c r="H362" s="13">
        <v>2</v>
      </c>
    </row>
    <row r="363" spans="1:8" ht="15" hidden="1" customHeight="1" x14ac:dyDescent="0.35">
      <c r="A363" s="6" t="str">
        <f>MID(C363,2,FIND(")",C363,1)-5)</f>
        <v xml:space="preserve">81.3 </v>
      </c>
      <c r="B363" t="str">
        <f>IF(ISNUMBER(FIND("[PASSED]",C363,1)),"PASSED","FAILED")</f>
        <v>PASSED</v>
      </c>
      <c r="C363" s="19" t="s">
        <v>25</v>
      </c>
      <c r="G363" s="13">
        <v>81</v>
      </c>
      <c r="H363" s="13">
        <v>3</v>
      </c>
    </row>
    <row r="364" spans="1:8" ht="15" hidden="1" customHeight="1" x14ac:dyDescent="0.35">
      <c r="A364" s="6" t="str">
        <f>MID(C364,2,FIND(")",C364,1)-5)</f>
        <v xml:space="preserve">81.4 </v>
      </c>
      <c r="B364" t="str">
        <f>IF(ISNUMBER(FIND("[PASSED]",C364,1)),"PASSED","FAILED")</f>
        <v>PASSED</v>
      </c>
      <c r="C364" s="19" t="s">
        <v>411</v>
      </c>
      <c r="D364" s="6"/>
      <c r="G364" s="13">
        <v>81</v>
      </c>
      <c r="H364" s="13">
        <v>4</v>
      </c>
    </row>
    <row r="365" spans="1:8" ht="15" hidden="1" customHeight="1" x14ac:dyDescent="0.35">
      <c r="A365" s="6" t="str">
        <f>MID(C365,2,FIND(")",C365,1)-5)</f>
        <v xml:space="preserve">81.5 </v>
      </c>
      <c r="B365" t="str">
        <f>IF(ISNUMBER(FIND("[PASSED]",C365,1)),"PASSED","FAILED")</f>
        <v>PASSED</v>
      </c>
      <c r="C365" s="19" t="s">
        <v>427</v>
      </c>
      <c r="D365" s="6"/>
      <c r="G365" s="13">
        <v>81</v>
      </c>
      <c r="H365" s="13">
        <v>5</v>
      </c>
    </row>
    <row r="366" spans="1:8" ht="15" hidden="1" customHeight="1" x14ac:dyDescent="0.35">
      <c r="A366" s="6" t="str">
        <f>MID(C366,2,FIND(")",C366,1)-5)</f>
        <v xml:space="preserve">81.6 </v>
      </c>
      <c r="B366" t="str">
        <f>IF(ISNUMBER(FIND("[PASSED]",C366,1)),"PASSED","FAILED")</f>
        <v>PASSED</v>
      </c>
      <c r="C366" s="19" t="s">
        <v>395</v>
      </c>
      <c r="G366" s="13">
        <v>81</v>
      </c>
      <c r="H366" s="13">
        <v>6</v>
      </c>
    </row>
    <row r="367" spans="1:8" ht="15" hidden="1" customHeight="1" x14ac:dyDescent="0.35">
      <c r="A367" s="6" t="str">
        <f>MID(C367,2,FIND(")",C367,1)-5)</f>
        <v xml:space="preserve">81.7 </v>
      </c>
      <c r="B367" t="str">
        <f>IF(ISNUMBER(FIND("[PASSED]",C367,1)),"PASSED","FAILED")</f>
        <v>PASSED</v>
      </c>
      <c r="C367" s="19" t="s">
        <v>251</v>
      </c>
      <c r="D367" s="6"/>
      <c r="G367" s="13">
        <v>81</v>
      </c>
      <c r="H367" s="13">
        <v>7</v>
      </c>
    </row>
    <row r="368" spans="1:8" ht="15" hidden="1" customHeight="1" x14ac:dyDescent="0.35">
      <c r="A368" s="6" t="str">
        <f>MID(C368,2,FIND(")",C368,1)-5)</f>
        <v xml:space="preserve">81.8 </v>
      </c>
      <c r="B368" t="str">
        <f>IF(ISNUMBER(FIND("[PASSED]",C368,1)),"PASSED","FAILED")</f>
        <v>PASSED</v>
      </c>
      <c r="C368" s="19" t="s">
        <v>252</v>
      </c>
      <c r="D368" s="6"/>
      <c r="G368" s="13">
        <v>81</v>
      </c>
      <c r="H368" s="13">
        <v>8</v>
      </c>
    </row>
    <row r="369" spans="1:8" ht="15" hidden="1" customHeight="1" x14ac:dyDescent="0.35">
      <c r="A369" s="6" t="str">
        <f>MID(C369,2,FIND(")",C369,1)-5)</f>
        <v xml:space="preserve">81.9 </v>
      </c>
      <c r="B369" t="str">
        <f>IF(ISNUMBER(FIND("[PASSED]",C369,1)),"PASSED","FAILED")</f>
        <v>PASSED</v>
      </c>
      <c r="C369" s="19" t="s">
        <v>398</v>
      </c>
      <c r="D369" s="6"/>
      <c r="G369" s="13">
        <v>81</v>
      </c>
      <c r="H369" s="13">
        <v>9</v>
      </c>
    </row>
    <row r="370" spans="1:8" ht="15" hidden="1" customHeight="1" x14ac:dyDescent="0.35">
      <c r="A370" s="6" t="str">
        <f>MID(C370,2,FIND(")",C370,1)-5)</f>
        <v xml:space="preserve">81.10 </v>
      </c>
      <c r="B370" t="str">
        <f>IF(ISNUMBER(FIND("[PASSED]",C370,1)),"PASSED","FAILED")</f>
        <v>PASSED</v>
      </c>
      <c r="C370" s="19" t="s">
        <v>118</v>
      </c>
      <c r="D370" s="6"/>
      <c r="G370" s="13">
        <v>81</v>
      </c>
      <c r="H370" s="13">
        <v>10</v>
      </c>
    </row>
    <row r="371" spans="1:8" ht="15" hidden="1" customHeight="1" x14ac:dyDescent="0.35">
      <c r="A371" s="6" t="str">
        <f>MID(C371,2,FIND(")",C371,1)-5)</f>
        <v xml:space="preserve">81.11 </v>
      </c>
      <c r="B371" t="str">
        <f>IF(ISNUMBER(FIND("[PASSED]",C371,1)),"PASSED","FAILED")</f>
        <v>PASSED</v>
      </c>
      <c r="C371" s="19" t="s">
        <v>105</v>
      </c>
      <c r="D371" s="6"/>
      <c r="G371" s="13">
        <v>81</v>
      </c>
      <c r="H371" s="13">
        <v>11</v>
      </c>
    </row>
    <row r="372" spans="1:8" ht="15" hidden="1" customHeight="1" x14ac:dyDescent="0.35">
      <c r="A372" s="6" t="str">
        <f>MID(C372,2,FIND(")",C372,1)-5)</f>
        <v xml:space="preserve">81.12 </v>
      </c>
      <c r="B372" t="str">
        <f>IF(ISNUMBER(FIND("[PASSED]",C372,1)),"PASSED","FAILED")</f>
        <v>PASSED</v>
      </c>
      <c r="C372" s="19" t="s">
        <v>353</v>
      </c>
      <c r="D372" s="6"/>
      <c r="G372" s="13">
        <v>81</v>
      </c>
      <c r="H372" s="13">
        <v>12</v>
      </c>
    </row>
    <row r="373" spans="1:8" ht="15" hidden="1" customHeight="1" x14ac:dyDescent="0.35">
      <c r="A373" s="6" t="str">
        <f>MID(C373,2,FIND(")",C373,1)-5)</f>
        <v xml:space="preserve">81.13 </v>
      </c>
      <c r="B373" t="str">
        <f>IF(ISNUMBER(FIND("[PASSED]",C373,1)),"PASSED","FAILED")</f>
        <v>PASSED</v>
      </c>
      <c r="C373" s="19" t="s">
        <v>242</v>
      </c>
      <c r="D373" s="6"/>
      <c r="G373" s="13">
        <v>81</v>
      </c>
      <c r="H373" s="13">
        <v>13</v>
      </c>
    </row>
    <row r="374" spans="1:8" ht="15" customHeight="1" x14ac:dyDescent="0.35">
      <c r="A374" s="6" t="str">
        <f>MID(C374,2,FIND(")",C374,1)-5)</f>
        <v xml:space="preserve">81.14 </v>
      </c>
      <c r="B374" t="str">
        <f>IF(ISNUMBER(FIND("[PASSED]",C374,1)),"PASSED","FAILED")</f>
        <v>FAILED</v>
      </c>
      <c r="C374" s="19" t="s">
        <v>351</v>
      </c>
      <c r="D374" s="13" t="s">
        <v>488</v>
      </c>
      <c r="E374" s="6" t="s">
        <v>330</v>
      </c>
      <c r="F374" s="6" t="s">
        <v>474</v>
      </c>
      <c r="G374" s="13">
        <v>81</v>
      </c>
      <c r="H374" s="13">
        <v>14</v>
      </c>
    </row>
    <row r="375" spans="1:8" ht="15" hidden="1" customHeight="1" x14ac:dyDescent="0.35">
      <c r="A375" s="6" t="str">
        <f>MID(C375,2,FIND(")",C375,1)-5)</f>
        <v xml:space="preserve">81.15 </v>
      </c>
      <c r="B375" t="str">
        <f>IF(ISNUMBER(FIND("[PASSED]",C375,1)),"PASSED","FAILED")</f>
        <v>PASSED</v>
      </c>
      <c r="C375" s="19" t="s">
        <v>341</v>
      </c>
      <c r="D375" s="6"/>
      <c r="G375" s="13">
        <v>81</v>
      </c>
      <c r="H375" s="13">
        <v>15</v>
      </c>
    </row>
    <row r="376" spans="1:8" ht="15" hidden="1" customHeight="1" x14ac:dyDescent="0.35">
      <c r="A376" s="6" t="str">
        <f>MID(C376,2,FIND(")",C376,1)-5)</f>
        <v xml:space="preserve">81.16 </v>
      </c>
      <c r="B376" t="str">
        <f>IF(ISNUMBER(FIND("[PASSED]",C376,1)),"PASSED","FAILED")</f>
        <v>PASSED</v>
      </c>
      <c r="C376" s="19" t="s">
        <v>443</v>
      </c>
      <c r="D376" s="6"/>
      <c r="G376" s="13">
        <v>81</v>
      </c>
      <c r="H376" s="13">
        <v>16</v>
      </c>
    </row>
    <row r="377" spans="1:8" ht="15" hidden="1" customHeight="1" x14ac:dyDescent="0.35">
      <c r="A377" s="6" t="str">
        <f>MID(C377,2,FIND(")",C377,1)-5)</f>
        <v xml:space="preserve">81.17 </v>
      </c>
      <c r="B377" t="str">
        <f>IF(ISNUMBER(FIND("[PASSED]",C377,1)),"PASSED","FAILED")</f>
        <v>PASSED</v>
      </c>
      <c r="C377" s="19" t="s">
        <v>407</v>
      </c>
      <c r="D377" s="6"/>
      <c r="G377" s="13">
        <v>81</v>
      </c>
      <c r="H377" s="13">
        <v>17</v>
      </c>
    </row>
    <row r="378" spans="1:8" ht="15" hidden="1" customHeight="1" x14ac:dyDescent="0.35">
      <c r="A378" s="6" t="str">
        <f>MID(C378,2,FIND(")",C378,1)-5)</f>
        <v xml:space="preserve">81.18 </v>
      </c>
      <c r="B378" t="str">
        <f>IF(ISNUMBER(FIND("[PASSED]",C378,1)),"PASSED","FAILED")</f>
        <v>PASSED</v>
      </c>
      <c r="C378" s="19" t="s">
        <v>393</v>
      </c>
      <c r="D378" s="6"/>
      <c r="G378" s="13">
        <v>81</v>
      </c>
      <c r="H378" s="13">
        <v>18</v>
      </c>
    </row>
    <row r="379" spans="1:8" ht="15" hidden="1" customHeight="1" x14ac:dyDescent="0.35">
      <c r="A379" s="6" t="str">
        <f>MID(C379,2,FIND(")",C379,1)-5)</f>
        <v xml:space="preserve">81.19 </v>
      </c>
      <c r="B379" t="str">
        <f>IF(ISNUMBER(FIND("[PASSED]",C379,1)),"PASSED","FAILED")</f>
        <v>PASSED</v>
      </c>
      <c r="C379" s="19" t="s">
        <v>389</v>
      </c>
      <c r="D379" s="6"/>
      <c r="G379" s="13">
        <v>81</v>
      </c>
      <c r="H379" s="13">
        <v>19</v>
      </c>
    </row>
    <row r="380" spans="1:8" ht="15" hidden="1" customHeight="1" x14ac:dyDescent="0.35">
      <c r="A380" s="6" t="str">
        <f>MID(C380,2,FIND(")",C380,1)-5)</f>
        <v xml:space="preserve">81.20 </v>
      </c>
      <c r="B380" t="str">
        <f>IF(ISNUMBER(FIND("[PASSED]",C380,1)),"PASSED","FAILED")</f>
        <v>PASSED</v>
      </c>
      <c r="C380" s="19" t="s">
        <v>229</v>
      </c>
      <c r="D380" s="6"/>
      <c r="G380" s="13">
        <v>81</v>
      </c>
      <c r="H380" s="13">
        <v>20</v>
      </c>
    </row>
    <row r="381" spans="1:8" ht="15" hidden="1" customHeight="1" x14ac:dyDescent="0.35">
      <c r="A381" s="6" t="str">
        <f>MID(C381,2,FIND(")",C381,1)-5)</f>
        <v xml:space="preserve">81.21 </v>
      </c>
      <c r="B381" t="str">
        <f>IF(ISNUMBER(FIND("[PASSED]",C381,1)),"PASSED","FAILED")</f>
        <v>PASSED</v>
      </c>
      <c r="C381" s="19" t="s">
        <v>449</v>
      </c>
      <c r="D381" s="6"/>
      <c r="G381" s="13">
        <v>81</v>
      </c>
      <c r="H381" s="13">
        <v>21</v>
      </c>
    </row>
    <row r="382" spans="1:8" ht="15" hidden="1" customHeight="1" x14ac:dyDescent="0.35">
      <c r="A382" s="6" t="str">
        <f>MID(C382,2,FIND(")",C382,1)-5)</f>
        <v xml:space="preserve">81.22 </v>
      </c>
      <c r="B382" t="str">
        <f>IF(ISNUMBER(FIND("[PASSED]",C382,1)),"PASSED","FAILED")</f>
        <v>PASSED</v>
      </c>
      <c r="C382" s="19" t="s">
        <v>60</v>
      </c>
      <c r="D382" s="6"/>
      <c r="G382" s="13">
        <v>81</v>
      </c>
      <c r="H382" s="13">
        <v>22</v>
      </c>
    </row>
    <row r="383" spans="1:8" ht="15" hidden="1" customHeight="1" x14ac:dyDescent="0.35">
      <c r="A383" s="6" t="str">
        <f>MID(C383,2,FIND(")",C383,1)-5)</f>
        <v xml:space="preserve">81.23 </v>
      </c>
      <c r="B383" t="str">
        <f>IF(ISNUMBER(FIND("[PASSED]",C383,1)),"PASSED","FAILED")</f>
        <v>PASSED</v>
      </c>
      <c r="C383" s="19" t="s">
        <v>359</v>
      </c>
      <c r="D383" s="6"/>
      <c r="G383" s="13">
        <v>81</v>
      </c>
      <c r="H383" s="13">
        <v>23</v>
      </c>
    </row>
    <row r="384" spans="1:8" ht="15" hidden="1" customHeight="1" x14ac:dyDescent="0.35">
      <c r="A384" s="6" t="str">
        <f>MID(C384,2,FIND(")",C384,1)-5)</f>
        <v xml:space="preserve">81.24 </v>
      </c>
      <c r="B384" t="str">
        <f>IF(ISNUMBER(FIND("[PASSED]",C384,1)),"PASSED","FAILED")</f>
        <v>PASSED</v>
      </c>
      <c r="C384" s="19" t="s">
        <v>228</v>
      </c>
      <c r="D384" s="6"/>
      <c r="G384" s="13">
        <v>81</v>
      </c>
      <c r="H384" s="13">
        <v>24</v>
      </c>
    </row>
    <row r="385" spans="1:8" ht="15" hidden="1" customHeight="1" x14ac:dyDescent="0.35">
      <c r="A385" s="6" t="str">
        <f>MID(C385,2,FIND(")",C385,1)-5)</f>
        <v xml:space="preserve">81.25 </v>
      </c>
      <c r="B385" t="str">
        <f>IF(ISNUMBER(FIND("[PASSED]",C385,1)),"PASSED","FAILED")</f>
        <v>PASSED</v>
      </c>
      <c r="C385" s="19" t="s">
        <v>416</v>
      </c>
      <c r="D385" s="6"/>
      <c r="G385" s="13">
        <v>81</v>
      </c>
      <c r="H385" s="13">
        <v>25</v>
      </c>
    </row>
    <row r="386" spans="1:8" ht="15" hidden="1" customHeight="1" x14ac:dyDescent="0.35">
      <c r="A386" s="6" t="str">
        <f>MID(C386,2,FIND(")",C386,1)-5)</f>
        <v xml:space="preserve">81.26 </v>
      </c>
      <c r="B386" t="str">
        <f>IF(ISNUMBER(FIND("[PASSED]",C386,1)),"PASSED","FAILED")</f>
        <v>PASSED</v>
      </c>
      <c r="C386" s="19" t="s">
        <v>163</v>
      </c>
      <c r="G386" s="13">
        <v>81</v>
      </c>
      <c r="H386" s="13">
        <v>26</v>
      </c>
    </row>
    <row r="387" spans="1:8" ht="15" hidden="1" customHeight="1" x14ac:dyDescent="0.35">
      <c r="A387" s="6" t="str">
        <f>MID(C387,2,FIND(")",C387,1)-5)</f>
        <v xml:space="preserve">81.27 </v>
      </c>
      <c r="B387" t="str">
        <f>IF(ISNUMBER(FIND("[PASSED]",C387,1)),"PASSED","FAILED")</f>
        <v>PASSED</v>
      </c>
      <c r="C387" s="19" t="s">
        <v>47</v>
      </c>
      <c r="G387" s="13">
        <v>81</v>
      </c>
      <c r="H387" s="13">
        <v>27</v>
      </c>
    </row>
    <row r="388" spans="1:8" ht="15" hidden="1" customHeight="1" x14ac:dyDescent="0.35">
      <c r="A388" s="6" t="str">
        <f>MID(C388,2,FIND(")",C388,1)-5)</f>
        <v xml:space="preserve">81.28 </v>
      </c>
      <c r="B388" t="str">
        <f>IF(ISNUMBER(FIND("[PASSED]",C388,1)),"PASSED","FAILED")</f>
        <v>PASSED</v>
      </c>
      <c r="C388" s="19" t="s">
        <v>196</v>
      </c>
      <c r="D388" s="6"/>
      <c r="G388" s="13">
        <v>81</v>
      </c>
      <c r="H388" s="13">
        <v>28</v>
      </c>
    </row>
    <row r="389" spans="1:8" ht="15" hidden="1" customHeight="1" x14ac:dyDescent="0.35">
      <c r="A389" s="6" t="str">
        <f>MID(C389,2,FIND(")",C389,1)-5)</f>
        <v xml:space="preserve">81.29 </v>
      </c>
      <c r="B389" t="str">
        <f>IF(ISNUMBER(FIND("[PASSED]",C389,1)),"PASSED","FAILED")</f>
        <v>PASSED</v>
      </c>
      <c r="C389" s="19" t="s">
        <v>314</v>
      </c>
      <c r="D389" s="6"/>
      <c r="G389" s="13">
        <v>81</v>
      </c>
      <c r="H389" s="13">
        <v>29</v>
      </c>
    </row>
    <row r="390" spans="1:8" ht="15" hidden="1" customHeight="1" x14ac:dyDescent="0.35">
      <c r="A390" s="6" t="str">
        <f>MID(C390,2,FIND(")",C390,1)-5)</f>
        <v xml:space="preserve">81.30 </v>
      </c>
      <c r="B390" t="str">
        <f>IF(ISNUMBER(FIND("[PASSED]",C390,1)),"PASSED","FAILED")</f>
        <v>PASSED</v>
      </c>
      <c r="C390" s="19" t="s">
        <v>377</v>
      </c>
      <c r="G390" s="13">
        <v>81</v>
      </c>
      <c r="H390" s="13">
        <v>30</v>
      </c>
    </row>
    <row r="391" spans="1:8" ht="15" hidden="1" customHeight="1" x14ac:dyDescent="0.35">
      <c r="A391" s="6" t="str">
        <f>MID(C391,2,FIND(")",C391,1)-5)</f>
        <v xml:space="preserve">81.31 </v>
      </c>
      <c r="B391" t="str">
        <f>IF(ISNUMBER(FIND("[PASSED]",C391,1)),"PASSED","FAILED")</f>
        <v>PASSED</v>
      </c>
      <c r="C391" s="19" t="s">
        <v>419</v>
      </c>
      <c r="D391" s="6"/>
      <c r="G391" s="13">
        <v>81</v>
      </c>
      <c r="H391" s="13">
        <v>31</v>
      </c>
    </row>
    <row r="392" spans="1:8" ht="15" hidden="1" customHeight="1" x14ac:dyDescent="0.35">
      <c r="A392" s="6" t="str">
        <f>MID(C392,2,FIND(")",C392,1)-5)</f>
        <v xml:space="preserve">81.32 </v>
      </c>
      <c r="B392" t="str">
        <f>IF(ISNUMBER(FIND("[PASSED]",C392,1)),"PASSED","FAILED")</f>
        <v>PASSED</v>
      </c>
      <c r="C392" s="19" t="s">
        <v>220</v>
      </c>
      <c r="D392" s="6"/>
      <c r="G392" s="13">
        <v>81</v>
      </c>
      <c r="H392" s="13">
        <v>32</v>
      </c>
    </row>
    <row r="393" spans="1:8" ht="15" hidden="1" customHeight="1" x14ac:dyDescent="0.35">
      <c r="A393" s="6" t="str">
        <f>MID(C393,2,FIND(")",C393,1)-5)</f>
        <v xml:space="preserve">81.33 </v>
      </c>
      <c r="B393" t="str">
        <f>IF(ISNUMBER(FIND("[PASSED]",C393,1)),"PASSED","FAILED")</f>
        <v>PASSED</v>
      </c>
      <c r="C393" s="19" t="s">
        <v>142</v>
      </c>
      <c r="D393" s="6"/>
      <c r="G393" s="13">
        <v>81</v>
      </c>
      <c r="H393" s="13">
        <v>33</v>
      </c>
    </row>
    <row r="394" spans="1:8" ht="15" customHeight="1" x14ac:dyDescent="0.35">
      <c r="A394" s="6" t="str">
        <f>MID(C394,2,FIND(")",C394,1)-5)</f>
        <v xml:space="preserve">81.34 </v>
      </c>
      <c r="B394" t="str">
        <f>IF(ISNUMBER(FIND("[PASSED]",C394,1)),"PASSED","FAILED")</f>
        <v>FAILED</v>
      </c>
      <c r="C394" s="19" t="s">
        <v>435</v>
      </c>
      <c r="D394" s="13" t="s">
        <v>489</v>
      </c>
      <c r="E394" s="6" t="s">
        <v>330</v>
      </c>
      <c r="F394" s="6" t="s">
        <v>474</v>
      </c>
      <c r="G394" s="13">
        <v>81</v>
      </c>
      <c r="H394" s="13">
        <v>34</v>
      </c>
    </row>
    <row r="395" spans="1:8" ht="15" customHeight="1" x14ac:dyDescent="0.35">
      <c r="A395" s="6" t="str">
        <f>MID(C395,2,FIND(")",C395,1)-5)</f>
        <v xml:space="preserve">81.35 </v>
      </c>
      <c r="B395" t="str">
        <f>IF(ISNUMBER(FIND("[PASSED]",C395,1)),"PASSED","FAILED")</f>
        <v>FAILED</v>
      </c>
      <c r="C395" s="19" t="s">
        <v>339</v>
      </c>
      <c r="D395" s="13" t="s">
        <v>490</v>
      </c>
      <c r="E395" s="6" t="s">
        <v>330</v>
      </c>
      <c r="F395" s="6" t="s">
        <v>474</v>
      </c>
      <c r="G395" s="13">
        <v>81</v>
      </c>
      <c r="H395" s="13">
        <v>35</v>
      </c>
    </row>
    <row r="396" spans="1:8" ht="15" hidden="1" customHeight="1" x14ac:dyDescent="0.35">
      <c r="A396" s="6" t="str">
        <f>MID(C396,2,FIND(")",C396,1)-5)</f>
        <v xml:space="preserve">81.36 </v>
      </c>
      <c r="B396" t="str">
        <f>IF(ISNUMBER(FIND("[PASSED]",C396,1)),"PASSED","FAILED")</f>
        <v>PASSED</v>
      </c>
      <c r="C396" s="19" t="s">
        <v>347</v>
      </c>
      <c r="D396" s="6"/>
      <c r="G396" s="13">
        <v>81</v>
      </c>
      <c r="H396" s="13">
        <v>36</v>
      </c>
    </row>
    <row r="397" spans="1:8" ht="15" customHeight="1" x14ac:dyDescent="0.35">
      <c r="A397" s="6" t="str">
        <f>MID(C397,2,FIND(")",C397,1)-5)</f>
        <v xml:space="preserve">81.37 </v>
      </c>
      <c r="B397" t="str">
        <f>IF(ISNUMBER(FIND("[PASSED]",C397,1)),"PASSED","FAILED")</f>
        <v>FAILED</v>
      </c>
      <c r="C397" s="19" t="s">
        <v>414</v>
      </c>
      <c r="D397" s="13" t="s">
        <v>491</v>
      </c>
      <c r="E397" s="6" t="s">
        <v>330</v>
      </c>
      <c r="F397" s="6" t="s">
        <v>474</v>
      </c>
      <c r="G397" s="13">
        <v>81</v>
      </c>
      <c r="H397" s="13">
        <v>37</v>
      </c>
    </row>
    <row r="398" spans="1:8" ht="15" hidden="1" customHeight="1" x14ac:dyDescent="0.35">
      <c r="A398" s="6" t="str">
        <f>MID(C398,2,FIND(")",C398,1)-5)</f>
        <v xml:space="preserve">81.38 </v>
      </c>
      <c r="B398" t="str">
        <f>IF(ISNUMBER(FIND("[PASSED]",C398,1)),"PASSED","FAILED")</f>
        <v>PASSED</v>
      </c>
      <c r="C398" s="19" t="s">
        <v>126</v>
      </c>
      <c r="D398" s="6"/>
      <c r="G398" s="13">
        <v>81</v>
      </c>
      <c r="H398" s="13">
        <v>38</v>
      </c>
    </row>
    <row r="399" spans="1:8" ht="15" hidden="1" customHeight="1" x14ac:dyDescent="0.35">
      <c r="A399" s="6" t="str">
        <f>MID(C399,2,FIND(")",C399,1)-5)</f>
        <v xml:space="preserve">81.39 </v>
      </c>
      <c r="B399" t="str">
        <f>IF(ISNUMBER(FIND("[PASSED]",C399,1)),"PASSED","FAILED")</f>
        <v>PASSED</v>
      </c>
      <c r="C399" s="19" t="s">
        <v>180</v>
      </c>
      <c r="D399" s="6"/>
      <c r="G399" s="13">
        <v>81</v>
      </c>
      <c r="H399" s="13">
        <v>39</v>
      </c>
    </row>
    <row r="400" spans="1:8" ht="15" hidden="1" customHeight="1" x14ac:dyDescent="0.35">
      <c r="A400" s="6" t="str">
        <f>MID(C400,2,FIND(")",C400,1)-5)</f>
        <v xml:space="preserve">81.40 </v>
      </c>
      <c r="B400" t="str">
        <f>IF(ISNUMBER(FIND("[PASSED]",C400,1)),"PASSED","FAILED")</f>
        <v>PASSED</v>
      </c>
      <c r="C400" s="19" t="s">
        <v>209</v>
      </c>
      <c r="D400" s="6"/>
      <c r="G400" s="13">
        <v>81</v>
      </c>
      <c r="H400" s="13">
        <v>40</v>
      </c>
    </row>
    <row r="401" spans="1:8" ht="15" hidden="1" customHeight="1" x14ac:dyDescent="0.35">
      <c r="A401" s="6" t="str">
        <f>MID(C401,2,FIND(")",C401,1)-5)</f>
        <v xml:space="preserve">81.41 </v>
      </c>
      <c r="B401" t="str">
        <f>IF(ISNUMBER(FIND("[PASSED]",C401,1)),"PASSED","FAILED")</f>
        <v>PASSED</v>
      </c>
      <c r="C401" s="19" t="s">
        <v>303</v>
      </c>
      <c r="G401" s="13">
        <v>81</v>
      </c>
      <c r="H401" s="13">
        <v>41</v>
      </c>
    </row>
    <row r="402" spans="1:8" ht="15" hidden="1" customHeight="1" x14ac:dyDescent="0.35">
      <c r="A402" s="6" t="str">
        <f>MID(C402,2,FIND(")",C402,1)-5)</f>
        <v xml:space="preserve">81.42 </v>
      </c>
      <c r="B402" t="str">
        <f>IF(ISNUMBER(FIND("[PASSED]",C402,1)),"PASSED","FAILED")</f>
        <v>PASSED</v>
      </c>
      <c r="C402" s="19" t="s">
        <v>289</v>
      </c>
      <c r="G402" s="13">
        <v>81</v>
      </c>
      <c r="H402" s="13">
        <v>42</v>
      </c>
    </row>
    <row r="403" spans="1:8" ht="15" hidden="1" customHeight="1" x14ac:dyDescent="0.35">
      <c r="A403" s="6" t="str">
        <f>MID(C403,2,FIND(")",C403,1)-5)</f>
        <v xml:space="preserve">89.1 </v>
      </c>
      <c r="B403" t="str">
        <f>IF(ISNUMBER(FIND("[PASSED]",C403,1)),"PASSED","FAILED")</f>
        <v>PASSED</v>
      </c>
      <c r="C403" s="19" t="s">
        <v>95</v>
      </c>
      <c r="D403" s="6"/>
      <c r="G403" s="13">
        <v>89</v>
      </c>
      <c r="H403" s="13">
        <v>1</v>
      </c>
    </row>
    <row r="404" spans="1:8" ht="15" hidden="1" customHeight="1" x14ac:dyDescent="0.35">
      <c r="A404" s="6" t="str">
        <f>MID(C404,2,FIND(")",C404,1)-5)</f>
        <v xml:space="preserve">89.2 </v>
      </c>
      <c r="B404" t="str">
        <f>IF(ISNUMBER(FIND("[PASSED]",C404,1)),"PASSED","FAILED")</f>
        <v>PASSED</v>
      </c>
      <c r="C404" s="19" t="s">
        <v>206</v>
      </c>
      <c r="D404" s="6"/>
      <c r="G404" s="13">
        <v>89</v>
      </c>
      <c r="H404" s="13">
        <v>2</v>
      </c>
    </row>
    <row r="405" spans="1:8" ht="15" hidden="1" customHeight="1" x14ac:dyDescent="0.35">
      <c r="A405" s="6" t="str">
        <f>MID(C405,2,FIND(")",C405,1)-5)</f>
        <v xml:space="preserve">89.3 </v>
      </c>
      <c r="B405" t="str">
        <f>IF(ISNUMBER(FIND("[PASSED]",C405,1)),"PASSED","FAILED")</f>
        <v>PASSED</v>
      </c>
      <c r="C405" s="19" t="s">
        <v>197</v>
      </c>
      <c r="D405" s="6"/>
      <c r="G405" s="13">
        <v>89</v>
      </c>
      <c r="H405" s="13">
        <v>3</v>
      </c>
    </row>
    <row r="406" spans="1:8" ht="15" hidden="1" customHeight="1" x14ac:dyDescent="0.35">
      <c r="A406" s="6" t="str">
        <f>MID(C406,2,FIND(")",C406,1)-5)</f>
        <v xml:space="preserve">89.4 </v>
      </c>
      <c r="B406" t="str">
        <f>IF(ISNUMBER(FIND("[PASSED]",C406,1)),"PASSED","FAILED")</f>
        <v>PASSED</v>
      </c>
      <c r="C406" s="19" t="s">
        <v>130</v>
      </c>
      <c r="D406" s="6"/>
      <c r="G406" s="13">
        <v>89</v>
      </c>
      <c r="H406" s="13">
        <v>4</v>
      </c>
    </row>
    <row r="407" spans="1:8" ht="15" hidden="1" customHeight="1" x14ac:dyDescent="0.35">
      <c r="A407" s="6" t="str">
        <f>MID(C407,2,FIND(")",C407,1)-5)</f>
        <v xml:space="preserve">89.5 </v>
      </c>
      <c r="B407" t="str">
        <f>IF(ISNUMBER(FIND("[PASSED]",C407,1)),"PASSED","FAILED")</f>
        <v>PASSED</v>
      </c>
      <c r="C407" s="19" t="s">
        <v>294</v>
      </c>
      <c r="G407" s="13">
        <v>89</v>
      </c>
      <c r="H407" s="13">
        <v>5</v>
      </c>
    </row>
    <row r="408" spans="1:8" ht="15" hidden="1" customHeight="1" x14ac:dyDescent="0.35">
      <c r="A408" s="6" t="str">
        <f>MID(C408,2,FIND(")",C408,1)-5)</f>
        <v xml:space="preserve">89.6 </v>
      </c>
      <c r="B408" t="str">
        <f>IF(ISNUMBER(FIND("[PASSED]",C408,1)),"PASSED","FAILED")</f>
        <v>PASSED</v>
      </c>
      <c r="C408" s="19" t="s">
        <v>12</v>
      </c>
      <c r="G408" s="13">
        <v>89</v>
      </c>
      <c r="H408" s="13">
        <v>6</v>
      </c>
    </row>
    <row r="409" spans="1:8" ht="15" hidden="1" customHeight="1" x14ac:dyDescent="0.35">
      <c r="A409" s="6" t="str">
        <f>MID(C409,2,FIND(")",C409,1)-5)</f>
        <v xml:space="preserve">89.7 </v>
      </c>
      <c r="B409" t="str">
        <f>IF(ISNUMBER(FIND("[PASSED]",C409,1)),"PASSED","FAILED")</f>
        <v>PASSED</v>
      </c>
      <c r="C409" s="19" t="s">
        <v>115</v>
      </c>
      <c r="D409" s="6"/>
      <c r="G409" s="13">
        <v>89</v>
      </c>
      <c r="H409" s="13">
        <v>7</v>
      </c>
    </row>
    <row r="410" spans="1:8" ht="15" hidden="1" customHeight="1" x14ac:dyDescent="0.35">
      <c r="A410" s="6" t="str">
        <f>MID(C410,2,FIND(")",C410,1)-5)</f>
        <v xml:space="preserve">89.8 </v>
      </c>
      <c r="B410" t="str">
        <f>IF(ISNUMBER(FIND("[PASSED]",C410,1)),"PASSED","FAILED")</f>
        <v>PASSED</v>
      </c>
      <c r="C410" s="19" t="s">
        <v>285</v>
      </c>
      <c r="D410" s="6"/>
      <c r="G410" s="13">
        <v>89</v>
      </c>
      <c r="H410" s="13">
        <v>8</v>
      </c>
    </row>
    <row r="411" spans="1:8" ht="15" hidden="1" customHeight="1" x14ac:dyDescent="0.35">
      <c r="A411" s="6" t="str">
        <f>MID(C411,2,FIND(")",C411,1)-5)</f>
        <v xml:space="preserve">89.9 </v>
      </c>
      <c r="B411" t="str">
        <f>IF(ISNUMBER(FIND("[PASSED]",C411,1)),"PASSED","FAILED")</f>
        <v>PASSED</v>
      </c>
      <c r="C411" s="19" t="s">
        <v>215</v>
      </c>
      <c r="D411" s="6"/>
      <c r="G411" s="13">
        <v>89</v>
      </c>
      <c r="H411" s="13">
        <v>9</v>
      </c>
    </row>
    <row r="412" spans="1:8" ht="15" hidden="1" customHeight="1" x14ac:dyDescent="0.35">
      <c r="A412" s="6" t="str">
        <f>MID(C412,2,FIND(")",C412,1)-5)</f>
        <v xml:space="preserve">89.10 </v>
      </c>
      <c r="B412" t="str">
        <f>IF(ISNUMBER(FIND("[PASSED]",C412,1)),"PASSED","FAILED")</f>
        <v>PASSED</v>
      </c>
      <c r="C412" s="19" t="s">
        <v>57</v>
      </c>
      <c r="D412" s="6"/>
      <c r="G412" s="13">
        <v>89</v>
      </c>
      <c r="H412" s="13">
        <v>10</v>
      </c>
    </row>
    <row r="413" spans="1:8" ht="15" hidden="1" customHeight="1" x14ac:dyDescent="0.35">
      <c r="A413" s="6" t="str">
        <f>MID(C413,2,FIND(")",C413,1)-5)</f>
        <v xml:space="preserve">89.11 </v>
      </c>
      <c r="B413" t="str">
        <f>IF(ISNUMBER(FIND("[PASSED]",C413,1)),"PASSED","FAILED")</f>
        <v>PASSED</v>
      </c>
      <c r="C413" s="19" t="s">
        <v>29</v>
      </c>
      <c r="D413" s="6"/>
      <c r="G413" s="13">
        <v>89</v>
      </c>
      <c r="H413" s="13">
        <v>11</v>
      </c>
    </row>
    <row r="414" spans="1:8" ht="15" hidden="1" customHeight="1" x14ac:dyDescent="0.35">
      <c r="A414" s="6" t="str">
        <f>MID(C414,2,FIND(")",C414,1)-5)</f>
        <v xml:space="preserve">89.12 </v>
      </c>
      <c r="B414" t="str">
        <f>IF(ISNUMBER(FIND("[PASSED]",C414,1)),"PASSED","FAILED")</f>
        <v>PASSED</v>
      </c>
      <c r="C414" s="19" t="s">
        <v>175</v>
      </c>
      <c r="D414" s="6"/>
      <c r="G414" s="13">
        <v>89</v>
      </c>
      <c r="H414" s="13">
        <v>12</v>
      </c>
    </row>
    <row r="415" spans="1:8" ht="15" hidden="1" customHeight="1" x14ac:dyDescent="0.35">
      <c r="A415" s="6" t="str">
        <f>MID(C415,2,FIND(")",C415,1)-5)</f>
        <v xml:space="preserve">89.13 </v>
      </c>
      <c r="B415" t="str">
        <f>IF(ISNUMBER(FIND("[PASSED]",C415,1)),"PASSED","FAILED")</f>
        <v>PASSED</v>
      </c>
      <c r="C415" s="19" t="s">
        <v>172</v>
      </c>
      <c r="D415" s="6"/>
      <c r="G415" s="13">
        <v>89</v>
      </c>
      <c r="H415" s="13">
        <v>13</v>
      </c>
    </row>
    <row r="416" spans="1:8" ht="15" hidden="1" customHeight="1" x14ac:dyDescent="0.35">
      <c r="A416" s="6" t="str">
        <f>MID(C416,2,FIND(")",C416,1)-5)</f>
        <v xml:space="preserve">89.14 </v>
      </c>
      <c r="B416" t="str">
        <f>IF(ISNUMBER(FIND("[PASSED]",C416,1)),"PASSED","FAILED")</f>
        <v>PASSED</v>
      </c>
      <c r="C416" s="19" t="s">
        <v>41</v>
      </c>
      <c r="D416" s="6"/>
      <c r="G416" s="13">
        <v>89</v>
      </c>
      <c r="H416" s="13">
        <v>14</v>
      </c>
    </row>
    <row r="417" spans="1:8" ht="15" hidden="1" customHeight="1" x14ac:dyDescent="0.35">
      <c r="A417" s="6" t="str">
        <f>MID(C417,2,FIND(")",C417,1)-5)</f>
        <v xml:space="preserve">89.15 </v>
      </c>
      <c r="B417" t="str">
        <f>IF(ISNUMBER(FIND("[PASSED]",C417,1)),"PASSED","FAILED")</f>
        <v>PASSED</v>
      </c>
      <c r="C417" s="19" t="s">
        <v>383</v>
      </c>
      <c r="G417" s="13">
        <v>89</v>
      </c>
      <c r="H417" s="13">
        <v>15</v>
      </c>
    </row>
    <row r="418" spans="1:8" ht="15" hidden="1" customHeight="1" x14ac:dyDescent="0.35">
      <c r="A418" s="6" t="str">
        <f>MID(C418,2,FIND(")",C418,1)-5)</f>
        <v xml:space="preserve">89.16 </v>
      </c>
      <c r="B418" t="str">
        <f>IF(ISNUMBER(FIND("[PASSED]",C418,1)),"PASSED","FAILED")</f>
        <v>PASSED</v>
      </c>
      <c r="C418" s="19" t="s">
        <v>440</v>
      </c>
      <c r="D418" s="6"/>
      <c r="G418" s="13">
        <v>89</v>
      </c>
      <c r="H418" s="13">
        <v>16</v>
      </c>
    </row>
    <row r="419" spans="1:8" ht="15" hidden="1" customHeight="1" x14ac:dyDescent="0.35">
      <c r="A419" s="6" t="str">
        <f>MID(C419,2,FIND(")",C419,1)-5)</f>
        <v xml:space="preserve">89.17 </v>
      </c>
      <c r="B419" t="str">
        <f>IF(ISNUMBER(FIND("[PASSED]",C419,1)),"PASSED","FAILED")</f>
        <v>PASSED</v>
      </c>
      <c r="C419" s="19" t="s">
        <v>70</v>
      </c>
      <c r="D419" s="6"/>
      <c r="G419" s="13">
        <v>89</v>
      </c>
      <c r="H419" s="13">
        <v>17</v>
      </c>
    </row>
    <row r="420" spans="1:8" ht="15" hidden="1" customHeight="1" x14ac:dyDescent="0.35">
      <c r="A420" s="6" t="str">
        <f>MID(C420,2,FIND(")",C420,1)-5)</f>
        <v xml:space="preserve">89.18 </v>
      </c>
      <c r="B420" t="str">
        <f>IF(ISNUMBER(FIND("[PASSED]",C420,1)),"PASSED","FAILED")</f>
        <v>PASSED</v>
      </c>
      <c r="C420" s="19" t="s">
        <v>146</v>
      </c>
      <c r="D420" s="6"/>
      <c r="G420" s="13">
        <v>89</v>
      </c>
      <c r="H420" s="13">
        <v>18</v>
      </c>
    </row>
    <row r="421" spans="1:8" ht="15" hidden="1" customHeight="1" x14ac:dyDescent="0.35">
      <c r="A421" s="6" t="str">
        <f>MID(C421,2,FIND(")",C421,1)-5)</f>
        <v xml:space="preserve">89.19 </v>
      </c>
      <c r="B421" t="str">
        <f>IF(ISNUMBER(FIND("[PASSED]",C421,1)),"PASSED","FAILED")</f>
        <v>PASSED</v>
      </c>
      <c r="C421" s="19" t="s">
        <v>223</v>
      </c>
      <c r="D421" s="6"/>
      <c r="G421" s="13">
        <v>89</v>
      </c>
      <c r="H421" s="13">
        <v>19</v>
      </c>
    </row>
    <row r="422" spans="1:8" ht="15" hidden="1" customHeight="1" x14ac:dyDescent="0.35">
      <c r="A422" s="6" t="str">
        <f>MID(C422,2,FIND(")",C422,1)-5)</f>
        <v xml:space="preserve">89.20 </v>
      </c>
      <c r="B422" t="str">
        <f>IF(ISNUMBER(FIND("[PASSED]",C422,1)),"PASSED","FAILED")</f>
        <v>PASSED</v>
      </c>
      <c r="C422" s="19" t="s">
        <v>218</v>
      </c>
      <c r="D422" s="6"/>
      <c r="G422" s="13">
        <v>89</v>
      </c>
      <c r="H422" s="13">
        <v>20</v>
      </c>
    </row>
    <row r="423" spans="1:8" ht="15" hidden="1" customHeight="1" x14ac:dyDescent="0.35">
      <c r="A423" s="6" t="str">
        <f>MID(C423,2,FIND(")",C423,1)-5)</f>
        <v xml:space="preserve">89.21 </v>
      </c>
      <c r="B423" t="str">
        <f>IF(ISNUMBER(FIND("[PASSED]",C423,1)),"PASSED","FAILED")</f>
        <v>PASSED</v>
      </c>
      <c r="C423" s="19" t="s">
        <v>260</v>
      </c>
      <c r="D423" s="6"/>
      <c r="G423" s="13">
        <v>89</v>
      </c>
      <c r="H423" s="13">
        <v>21</v>
      </c>
    </row>
    <row r="424" spans="1:8" ht="15" hidden="1" customHeight="1" x14ac:dyDescent="0.35">
      <c r="A424" s="6" t="str">
        <f>MID(C424,2,FIND(")",C424,1)-5)</f>
        <v xml:space="preserve">89.22 </v>
      </c>
      <c r="B424" t="str">
        <f>IF(ISNUMBER(FIND("[PASSED]",C424,1)),"PASSED","FAILED")</f>
        <v>PASSED</v>
      </c>
      <c r="C424" s="19" t="s">
        <v>219</v>
      </c>
      <c r="D424" s="6"/>
      <c r="G424" s="13">
        <v>89</v>
      </c>
      <c r="H424" s="13">
        <v>22</v>
      </c>
    </row>
    <row r="425" spans="1:8" ht="15" hidden="1" customHeight="1" x14ac:dyDescent="0.35">
      <c r="A425" s="6" t="str">
        <f>MID(C425,2,FIND(")",C425,1)-5)</f>
        <v xml:space="preserve">89.23 </v>
      </c>
      <c r="B425" t="str">
        <f>IF(ISNUMBER(FIND("[PASSED]",C425,1)),"PASSED","FAILED")</f>
        <v>PASSED</v>
      </c>
      <c r="C425" s="19" t="s">
        <v>187</v>
      </c>
      <c r="D425" s="6"/>
      <c r="G425" s="13">
        <v>89</v>
      </c>
      <c r="H425" s="13">
        <v>23</v>
      </c>
    </row>
    <row r="426" spans="1:8" ht="15" hidden="1" customHeight="1" x14ac:dyDescent="0.35">
      <c r="A426" s="6" t="str">
        <f>MID(C426,2,FIND(")",C426,1)-5)</f>
        <v xml:space="preserve">89.24 </v>
      </c>
      <c r="B426" t="str">
        <f>IF(ISNUMBER(FIND("[PASSED]",C426,1)),"PASSED","FAILED")</f>
        <v>PASSED</v>
      </c>
      <c r="C426" s="19" t="s">
        <v>500</v>
      </c>
      <c r="D426" s="18"/>
      <c r="G426" s="13">
        <v>89</v>
      </c>
      <c r="H426" s="13">
        <v>24</v>
      </c>
    </row>
    <row r="427" spans="1:8" ht="15" hidden="1" customHeight="1" x14ac:dyDescent="0.35">
      <c r="A427" s="6" t="str">
        <f>MID(C427,2,FIND(")",C427,1)-5)</f>
        <v xml:space="preserve">89.25 </v>
      </c>
      <c r="B427" t="str">
        <f>IF(ISNUMBER(FIND("[PASSED]",C427,1)),"PASSED","FAILED")</f>
        <v>PASSED</v>
      </c>
      <c r="C427" s="19" t="s">
        <v>281</v>
      </c>
      <c r="D427" s="6"/>
      <c r="G427" s="13">
        <v>89</v>
      </c>
      <c r="H427" s="13">
        <v>25</v>
      </c>
    </row>
    <row r="428" spans="1:8" ht="15" hidden="1" customHeight="1" x14ac:dyDescent="0.35">
      <c r="A428" s="6" t="str">
        <f>MID(C428,2,FIND(")",C428,1)-5)</f>
        <v xml:space="preserve">89.26 </v>
      </c>
      <c r="B428" t="str">
        <f>IF(ISNUMBER(FIND("[PASSED]",C428,1)),"PASSED","FAILED")</f>
        <v>PASSED</v>
      </c>
      <c r="C428" s="19" t="s">
        <v>317</v>
      </c>
      <c r="G428" s="13">
        <v>89</v>
      </c>
      <c r="H428" s="13">
        <v>26</v>
      </c>
    </row>
    <row r="429" spans="1:8" ht="15" hidden="1" customHeight="1" x14ac:dyDescent="0.35">
      <c r="A429" s="6" t="str">
        <f>MID(C429,2,FIND(")",C429,1)-5)</f>
        <v xml:space="preserve">89.27 </v>
      </c>
      <c r="B429" t="str">
        <f>IF(ISNUMBER(FIND("[PASSED]",C429,1)),"PASSED","FAILED")</f>
        <v>PASSED</v>
      </c>
      <c r="C429" s="19" t="s">
        <v>48</v>
      </c>
      <c r="G429" s="13">
        <v>89</v>
      </c>
      <c r="H429" s="13">
        <v>27</v>
      </c>
    </row>
    <row r="430" spans="1:8" ht="15" hidden="1" customHeight="1" x14ac:dyDescent="0.35">
      <c r="A430" s="6" t="str">
        <f>MID(C430,2,FIND(")",C430,1)-5)</f>
        <v xml:space="preserve">89.28 </v>
      </c>
      <c r="B430" t="str">
        <f>IF(ISNUMBER(FIND("[PASSED]",C430,1)),"PASSED","FAILED")</f>
        <v>PASSED</v>
      </c>
      <c r="C430" s="19" t="s">
        <v>8</v>
      </c>
      <c r="D430" s="6"/>
      <c r="G430" s="13">
        <v>89</v>
      </c>
      <c r="H430" s="13">
        <v>28</v>
      </c>
    </row>
    <row r="431" spans="1:8" ht="15" hidden="1" customHeight="1" x14ac:dyDescent="0.35">
      <c r="A431" s="6" t="str">
        <f>MID(C431,2,FIND(")",C431,1)-5)</f>
        <v xml:space="preserve">89.29 </v>
      </c>
      <c r="B431" t="str">
        <f>IF(ISNUMBER(FIND("[PASSED]",C431,1)),"PASSED","FAILED")</f>
        <v>PASSED</v>
      </c>
      <c r="C431" s="19" t="s">
        <v>272</v>
      </c>
      <c r="D431" s="6"/>
      <c r="G431" s="13">
        <v>89</v>
      </c>
      <c r="H431" s="13">
        <v>29</v>
      </c>
    </row>
    <row r="432" spans="1:8" ht="15" hidden="1" customHeight="1" x14ac:dyDescent="0.35">
      <c r="A432" s="6" t="str">
        <f>MID(C432,2,FIND(")",C432,1)-5)</f>
        <v xml:space="preserve">89.30 </v>
      </c>
      <c r="B432" t="str">
        <f>IF(ISNUMBER(FIND("[PASSED]",C432,1)),"PASSED","FAILED")</f>
        <v>PASSED</v>
      </c>
      <c r="C432" s="19" t="s">
        <v>320</v>
      </c>
      <c r="D432" s="6"/>
      <c r="G432" s="13">
        <v>89</v>
      </c>
      <c r="H432" s="13">
        <v>30</v>
      </c>
    </row>
    <row r="433" spans="1:8" ht="15" hidden="1" customHeight="1" x14ac:dyDescent="0.35">
      <c r="A433" s="6" t="str">
        <f>MID(C433,2,FIND(")",C433,1)-5)</f>
        <v xml:space="preserve">89.31 </v>
      </c>
      <c r="B433" t="str">
        <f>IF(ISNUMBER(FIND("[PASSED]",C433,1)),"PASSED","FAILED")</f>
        <v>PASSED</v>
      </c>
      <c r="C433" s="19" t="s">
        <v>136</v>
      </c>
      <c r="D433" s="6"/>
      <c r="G433" s="13">
        <v>89</v>
      </c>
      <c r="H433" s="13">
        <v>31</v>
      </c>
    </row>
    <row r="434" spans="1:8" ht="15" hidden="1" customHeight="1" x14ac:dyDescent="0.35">
      <c r="A434" s="6" t="str">
        <f>MID(C434,2,FIND(")",C434,1)-5)</f>
        <v xml:space="preserve">89.32 </v>
      </c>
      <c r="B434" t="str">
        <f>IF(ISNUMBER(FIND("[PASSED]",C434,1)),"PASSED","FAILED")</f>
        <v>PASSED</v>
      </c>
      <c r="C434" s="19" t="s">
        <v>186</v>
      </c>
      <c r="D434" s="6"/>
      <c r="G434" s="13">
        <v>89</v>
      </c>
      <c r="H434" s="13">
        <v>32</v>
      </c>
    </row>
    <row r="435" spans="1:8" ht="15" hidden="1" customHeight="1" x14ac:dyDescent="0.35">
      <c r="A435" s="6" t="str">
        <f>MID(C435,2,FIND(")",C435,1)-5)</f>
        <v xml:space="preserve">89.33 </v>
      </c>
      <c r="B435" t="str">
        <f>IF(ISNUMBER(FIND("[PASSED]",C435,1)),"PASSED","FAILED")</f>
        <v>PASSED</v>
      </c>
      <c r="C435" s="19" t="s">
        <v>253</v>
      </c>
      <c r="D435" s="6"/>
      <c r="G435" s="13">
        <v>89</v>
      </c>
      <c r="H435" s="13">
        <v>33</v>
      </c>
    </row>
    <row r="436" spans="1:8" ht="15" hidden="1" customHeight="1" x14ac:dyDescent="0.35">
      <c r="A436" s="6" t="str">
        <f>MID(C436,2,FIND(")",C436,1)-5)</f>
        <v xml:space="preserve">89.34 </v>
      </c>
      <c r="B436" t="str">
        <f>IF(ISNUMBER(FIND("[PASSED]",C436,1)),"PASSED","FAILED")</f>
        <v>PASSED</v>
      </c>
      <c r="C436" s="19" t="s">
        <v>364</v>
      </c>
      <c r="G436" s="13">
        <v>89</v>
      </c>
      <c r="H436" s="13">
        <v>34</v>
      </c>
    </row>
    <row r="437" spans="1:8" ht="15" hidden="1" customHeight="1" x14ac:dyDescent="0.35">
      <c r="A437" s="6" t="str">
        <f>MID(C437,2,FIND(")",C437,1)-5)</f>
        <v xml:space="preserve">89.35 </v>
      </c>
      <c r="B437" t="str">
        <f>IF(ISNUMBER(FIND("[PASSED]",C437,1)),"PASSED","FAILED")</f>
        <v>PASSED</v>
      </c>
      <c r="C437" s="19" t="s">
        <v>90</v>
      </c>
      <c r="D437" s="6"/>
      <c r="G437" s="13">
        <v>89</v>
      </c>
      <c r="H437" s="13">
        <v>35</v>
      </c>
    </row>
    <row r="438" spans="1:8" ht="15" hidden="1" customHeight="1" x14ac:dyDescent="0.35">
      <c r="A438" s="6" t="str">
        <f>MID(C438,2,FIND(")",C438,1)-5)</f>
        <v xml:space="preserve">90.1 </v>
      </c>
      <c r="B438" t="str">
        <f>IF(ISNUMBER(FIND("[PASSED]",C438,1)),"PASSED","FAILED")</f>
        <v>PASSED</v>
      </c>
      <c r="C438" s="19" t="s">
        <v>40</v>
      </c>
      <c r="D438" s="6"/>
      <c r="G438" s="13">
        <v>90</v>
      </c>
      <c r="H438" s="13">
        <v>1</v>
      </c>
    </row>
    <row r="439" spans="1:8" ht="15" hidden="1" customHeight="1" x14ac:dyDescent="0.35">
      <c r="A439" s="6" t="str">
        <f>MID(C439,2,FIND(")",C439,1)-5)</f>
        <v xml:space="preserve">90.2 </v>
      </c>
      <c r="B439" t="str">
        <f>IF(ISNUMBER(FIND("[PASSED]",C439,1)),"PASSED","FAILED")</f>
        <v>PASSED</v>
      </c>
      <c r="C439" s="19" t="s">
        <v>51</v>
      </c>
      <c r="D439" s="6"/>
      <c r="G439" s="13">
        <v>90</v>
      </c>
      <c r="H439" s="13">
        <v>2</v>
      </c>
    </row>
    <row r="440" spans="1:8" ht="15" hidden="1" customHeight="1" x14ac:dyDescent="0.35">
      <c r="A440" s="6" t="str">
        <f>MID(C440,2,FIND(")",C440,1)-5)</f>
        <v xml:space="preserve">93.1 </v>
      </c>
      <c r="B440" t="str">
        <f>IF(ISNUMBER(FIND("[PASSED]",C440,1)),"PASSED","FAILED")</f>
        <v>PASSED</v>
      </c>
      <c r="C440" s="19" t="s">
        <v>182</v>
      </c>
      <c r="D440" s="6"/>
      <c r="G440" s="13">
        <v>93</v>
      </c>
      <c r="H440" s="13">
        <v>1</v>
      </c>
    </row>
    <row r="441" spans="1:8" ht="15" hidden="1" customHeight="1" x14ac:dyDescent="0.35">
      <c r="A441" s="6" t="str">
        <f>MID(C441,2,FIND(")",C441,1)-5)</f>
        <v xml:space="preserve">94.1 </v>
      </c>
      <c r="B441" t="str">
        <f>IF(ISNUMBER(FIND("[PASSED]",C441,1)),"PASSED","FAILED")</f>
        <v>PASSED</v>
      </c>
      <c r="C441" s="19" t="s">
        <v>315</v>
      </c>
      <c r="D441" s="6"/>
      <c r="G441" s="13">
        <v>94</v>
      </c>
      <c r="H441" s="13">
        <v>1</v>
      </c>
    </row>
    <row r="442" spans="1:8" ht="15" hidden="1" customHeight="1" x14ac:dyDescent="0.35">
      <c r="A442" s="6" t="str">
        <f>MID(C442,2,FIND(")",C442,1)-5)</f>
        <v xml:space="preserve">96.1 </v>
      </c>
      <c r="B442" t="str">
        <f>IF(ISNUMBER(FIND("[PASSED]",C442,1)),"PASSED","FAILED")</f>
        <v>PASSED</v>
      </c>
      <c r="C442" s="19" t="s">
        <v>246</v>
      </c>
      <c r="D442" s="6"/>
      <c r="G442" s="13">
        <v>96</v>
      </c>
      <c r="H442" s="13">
        <v>1</v>
      </c>
    </row>
    <row r="443" spans="1:8" ht="15" hidden="1" customHeight="1" x14ac:dyDescent="0.35">
      <c r="A443" s="6" t="str">
        <f>MID(C443,2,FIND(")",C443,1)-5)</f>
        <v xml:space="preserve">97.1 </v>
      </c>
      <c r="B443" t="str">
        <f>IF(ISNUMBER(FIND("[PASSED]",C443,1)),"PASSED","FAILED")</f>
        <v>PASSED</v>
      </c>
      <c r="C443" s="19" t="s">
        <v>248</v>
      </c>
      <c r="D443" s="6"/>
      <c r="G443" s="13">
        <v>97</v>
      </c>
      <c r="H443" s="13">
        <v>1</v>
      </c>
    </row>
    <row r="444" spans="1:8" ht="15" hidden="1" customHeight="1" x14ac:dyDescent="0.35">
      <c r="A444" s="6" t="str">
        <f>MID(C444,2,FIND(")",C444,1)-5)</f>
        <v xml:space="preserve">97.2 </v>
      </c>
      <c r="B444" t="str">
        <f>IF(ISNUMBER(FIND("[PASSED]",C444,1)),"PASSED","FAILED")</f>
        <v>PASSED</v>
      </c>
      <c r="C444" s="19" t="s">
        <v>75</v>
      </c>
      <c r="D444" s="6"/>
      <c r="G444" s="13">
        <v>97</v>
      </c>
      <c r="H444" s="13">
        <v>2</v>
      </c>
    </row>
    <row r="445" spans="1:8" ht="15" hidden="1" customHeight="1" x14ac:dyDescent="0.35">
      <c r="A445" s="6" t="str">
        <f>MID(C445,2,FIND(")",C445,1)-5)</f>
        <v xml:space="preserve">97.3 </v>
      </c>
      <c r="B445" t="str">
        <f>IF(ISNUMBER(FIND("[PASSED]",C445,1)),"PASSED","FAILED")</f>
        <v>PASSED</v>
      </c>
      <c r="C445" s="19" t="s">
        <v>132</v>
      </c>
      <c r="D445" s="6"/>
      <c r="G445" s="13">
        <v>97</v>
      </c>
      <c r="H445" s="13">
        <v>3</v>
      </c>
    </row>
    <row r="446" spans="1:8" ht="15" hidden="1" customHeight="1" x14ac:dyDescent="0.35">
      <c r="A446" s="6" t="str">
        <f>MID(C446,2,FIND(")",C446,1)-5)</f>
        <v xml:space="preserve">97.4 </v>
      </c>
      <c r="B446" t="str">
        <f>IF(ISNUMBER(FIND("[PASSED]",C446,1)),"PASSED","FAILED")</f>
        <v>PASSED</v>
      </c>
      <c r="C446" s="19" t="s">
        <v>164</v>
      </c>
      <c r="D446" s="6"/>
      <c r="G446" s="13">
        <v>97</v>
      </c>
      <c r="H446" s="13">
        <v>4</v>
      </c>
    </row>
    <row r="447" spans="1:8" ht="15" hidden="1" customHeight="1" x14ac:dyDescent="0.35">
      <c r="A447" s="6" t="str">
        <f>MID(C447,2,FIND(")",C447,1)-5)</f>
        <v xml:space="preserve">98.1 </v>
      </c>
      <c r="B447" t="str">
        <f>IF(ISNUMBER(FIND("[PASSED]",C447,1)),"PASSED","FAILED")</f>
        <v>PASSED</v>
      </c>
      <c r="C447" s="19" t="s">
        <v>453</v>
      </c>
      <c r="D447" s="6"/>
      <c r="G447" s="13">
        <v>98</v>
      </c>
      <c r="H447" s="13">
        <v>1</v>
      </c>
    </row>
    <row r="448" spans="1:8" ht="15" hidden="1" customHeight="1" x14ac:dyDescent="0.35">
      <c r="A448" s="6" t="str">
        <f>MID(C448,2,FIND(")",C448,1)-5)</f>
        <v xml:space="preserve">98.2 </v>
      </c>
      <c r="B448" t="str">
        <f>IF(ISNUMBER(FIND("[PASSED]",C448,1)),"PASSED","FAILED")</f>
        <v>PASSED</v>
      </c>
      <c r="C448" s="19" t="s">
        <v>305</v>
      </c>
      <c r="G448" s="13">
        <v>98</v>
      </c>
      <c r="H448" s="13">
        <v>2</v>
      </c>
    </row>
    <row r="449" spans="1:8" ht="15" hidden="1" customHeight="1" x14ac:dyDescent="0.35">
      <c r="A449" s="6" t="str">
        <f>MID(C449,2,FIND(")",C449,1)-5)</f>
        <v xml:space="preserve">101.1 </v>
      </c>
      <c r="B449" t="str">
        <f>IF(ISNUMBER(FIND("[PASSED]",C449,1)),"PASSED","FAILED")</f>
        <v>PASSED</v>
      </c>
      <c r="C449" s="19" t="s">
        <v>211</v>
      </c>
      <c r="D449" s="6"/>
      <c r="G449" s="13">
        <v>101</v>
      </c>
      <c r="H449" s="13">
        <v>1</v>
      </c>
    </row>
    <row r="450" spans="1:8" ht="15" hidden="1" customHeight="1" x14ac:dyDescent="0.35">
      <c r="A450" s="6" t="str">
        <f>MID(C450,2,FIND(")",C450,1)-5)</f>
        <v xml:space="preserve">101.2 </v>
      </c>
      <c r="B450" t="str">
        <f>IF(ISNUMBER(FIND("[PASSED]",C450,1)),"PASSED","FAILED")</f>
        <v>PASSED</v>
      </c>
      <c r="C450" s="19" t="s">
        <v>64</v>
      </c>
      <c r="D450" s="6"/>
      <c r="G450" s="13">
        <v>101</v>
      </c>
      <c r="H450" s="13">
        <v>2</v>
      </c>
    </row>
    <row r="451" spans="1:8" ht="15" customHeight="1" x14ac:dyDescent="0.35">
      <c r="A451" s="6" t="str">
        <f>MID(C451,2,FIND(")",C451,1)-5)</f>
        <v xml:space="preserve">103.1 </v>
      </c>
      <c r="B451" t="str">
        <f>IF(ISNUMBER(FIND("[PASSED]",C451,1)),"PASSED","FAILED")</f>
        <v>FAILED</v>
      </c>
      <c r="C451" s="19" t="s">
        <v>244</v>
      </c>
      <c r="D451" s="13" t="s">
        <v>332</v>
      </c>
      <c r="E451" s="6" t="s">
        <v>330</v>
      </c>
      <c r="F451" s="6" t="s">
        <v>474</v>
      </c>
      <c r="G451" s="13">
        <v>103</v>
      </c>
      <c r="H451" s="13">
        <v>1</v>
      </c>
    </row>
    <row r="452" spans="1:8" ht="15" hidden="1" customHeight="1" x14ac:dyDescent="0.35">
      <c r="A452" s="6" t="str">
        <f>MID(C452,2,FIND(")",C452,1)-5)</f>
        <v xml:space="preserve">103.2 </v>
      </c>
      <c r="B452" t="str">
        <f>IF(ISNUMBER(FIND("[PASSED]",C452,1)),"PASSED","FAILED")</f>
        <v>PASSED</v>
      </c>
      <c r="C452" s="19" t="s">
        <v>226</v>
      </c>
      <c r="D452" s="6"/>
      <c r="G452" s="13">
        <v>103</v>
      </c>
      <c r="H452" s="13">
        <v>2</v>
      </c>
    </row>
    <row r="453" spans="1:8" ht="15" hidden="1" customHeight="1" x14ac:dyDescent="0.35">
      <c r="A453" s="6" t="str">
        <f>MID(C453,2,FIND(")",C453,1)-5)</f>
        <v xml:space="preserve">103.3 </v>
      </c>
      <c r="B453" t="str">
        <f>IF(ISNUMBER(FIND("[PASSED]",C453,1)),"PASSED","FAILED")</f>
        <v>PASSED</v>
      </c>
      <c r="C453" s="19" t="s">
        <v>78</v>
      </c>
      <c r="G453" s="13">
        <v>103</v>
      </c>
      <c r="H453" s="13">
        <v>3</v>
      </c>
    </row>
    <row r="454" spans="1:8" ht="15" hidden="1" customHeight="1" x14ac:dyDescent="0.35">
      <c r="A454" s="6" t="str">
        <f>MID(C454,2,FIND(")",C454,1)-5)</f>
        <v xml:space="preserve">103.4 </v>
      </c>
      <c r="B454" t="str">
        <f>IF(ISNUMBER(FIND("[PASSED]",C454,1)),"PASSED","FAILED")</f>
        <v>PASSED</v>
      </c>
      <c r="C454" s="19" t="s">
        <v>275</v>
      </c>
      <c r="D454" s="6"/>
      <c r="G454" s="13">
        <v>103</v>
      </c>
      <c r="H454" s="13">
        <v>4</v>
      </c>
    </row>
    <row r="455" spans="1:8" ht="15" hidden="1" customHeight="1" x14ac:dyDescent="0.35">
      <c r="A455" s="6" t="str">
        <f>MID(C455,2,FIND(")",C455,1)-5)</f>
        <v xml:space="preserve">103.5 </v>
      </c>
      <c r="B455" t="str">
        <f>IF(ISNUMBER(FIND("[PASSED]",C455,1)),"PASSED","FAILED")</f>
        <v>PASSED</v>
      </c>
      <c r="C455" s="19" t="s">
        <v>268</v>
      </c>
      <c r="D455" s="6"/>
      <c r="G455" s="13">
        <v>103</v>
      </c>
      <c r="H455" s="13">
        <v>5</v>
      </c>
    </row>
    <row r="456" spans="1:8" ht="15" hidden="1" customHeight="1" x14ac:dyDescent="0.35">
      <c r="A456" s="6" t="str">
        <f>MID(C456,2,FIND(")",C456,1)-5)</f>
        <v xml:space="preserve">103.6 </v>
      </c>
      <c r="B456" t="str">
        <f>IF(ISNUMBER(FIND("[PASSED]",C456,1)),"PASSED","FAILED")</f>
        <v>PASSED</v>
      </c>
      <c r="C456" s="19" t="s">
        <v>302</v>
      </c>
      <c r="D456" s="6"/>
      <c r="G456" s="13">
        <v>103</v>
      </c>
      <c r="H456" s="13">
        <v>6</v>
      </c>
    </row>
    <row r="457" spans="1:8" ht="15" hidden="1" customHeight="1" x14ac:dyDescent="0.35">
      <c r="A457" s="6" t="str">
        <f>MID(C457,2,FIND(")",C457,1)-5)</f>
        <v xml:space="preserve">104.1 </v>
      </c>
      <c r="B457" t="str">
        <f>IF(ISNUMBER(FIND("[PASSED]",C457,1)),"PASSED","FAILED")</f>
        <v>PASSED</v>
      </c>
      <c r="C457" s="19" t="s">
        <v>106</v>
      </c>
      <c r="D457" s="6"/>
      <c r="G457" s="13">
        <v>104</v>
      </c>
      <c r="H457" s="13">
        <v>1</v>
      </c>
    </row>
    <row r="458" spans="1:8" ht="15" hidden="1" customHeight="1" x14ac:dyDescent="0.35">
      <c r="A458" s="6" t="str">
        <f>MID(C458,2,FIND(")",C458,1)-5)</f>
        <v xml:space="preserve">105.1 </v>
      </c>
      <c r="B458" t="str">
        <f>IF(ISNUMBER(FIND("[PASSED]",C458,1)),"PASSED","FAILED")</f>
        <v>PASSED</v>
      </c>
      <c r="C458" s="19" t="s">
        <v>193</v>
      </c>
      <c r="D458" s="6"/>
      <c r="G458" s="13">
        <v>105</v>
      </c>
      <c r="H458" s="13">
        <v>1</v>
      </c>
    </row>
    <row r="459" spans="1:8" ht="15" hidden="1" customHeight="1" x14ac:dyDescent="0.35">
      <c r="A459" s="6" t="str">
        <f>MID(C459,2,FIND(")",C459,1)-5)</f>
        <v xml:space="preserve">105.2 </v>
      </c>
      <c r="B459" t="str">
        <f>IF(ISNUMBER(FIND("[PASSED]",C459,1)),"PASSED","FAILED")</f>
        <v>PASSED</v>
      </c>
      <c r="C459" s="19" t="s">
        <v>13</v>
      </c>
      <c r="D459" s="6"/>
      <c r="G459" s="13">
        <v>105</v>
      </c>
      <c r="H459" s="13">
        <v>2</v>
      </c>
    </row>
    <row r="460" spans="1:8" ht="15" hidden="1" customHeight="1" x14ac:dyDescent="0.35">
      <c r="A460" s="6" t="str">
        <f>MID(C460,2,FIND(")",C460,1)-5)</f>
        <v xml:space="preserve">105.3 </v>
      </c>
      <c r="B460" t="str">
        <f>IF(ISNUMBER(FIND("[PASSED]",C460,1)),"PASSED","FAILED")</f>
        <v>PASSED</v>
      </c>
      <c r="C460" s="19" t="s">
        <v>368</v>
      </c>
      <c r="D460" s="6"/>
      <c r="G460" s="13">
        <v>105</v>
      </c>
      <c r="H460" s="13">
        <v>3</v>
      </c>
    </row>
    <row r="461" spans="1:8" ht="15" hidden="1" customHeight="1" x14ac:dyDescent="0.35">
      <c r="A461" s="6" t="str">
        <f>MID(C461,2,FIND(")",C461,1)-5)</f>
        <v xml:space="preserve">105.4 </v>
      </c>
      <c r="B461" t="str">
        <f>IF(ISNUMBER(FIND("[PASSED]",C461,1)),"PASSED","FAILED")</f>
        <v>PASSED</v>
      </c>
      <c r="C461" s="19" t="s">
        <v>99</v>
      </c>
      <c r="D461" s="6"/>
      <c r="G461" s="13">
        <v>105</v>
      </c>
      <c r="H461" s="13">
        <v>4</v>
      </c>
    </row>
    <row r="462" spans="1:8" ht="15" hidden="1" customHeight="1" x14ac:dyDescent="0.35">
      <c r="A462" s="6" t="str">
        <f>MID(C462,2,FIND(")",C462,1)-5)</f>
        <v xml:space="preserve">105.5 </v>
      </c>
      <c r="B462" t="str">
        <f>IF(ISNUMBER(FIND("[PASSED]",C462,1)),"PASSED","FAILED")</f>
        <v>PASSED</v>
      </c>
      <c r="C462" s="19" t="s">
        <v>134</v>
      </c>
      <c r="D462" s="6"/>
      <c r="G462" s="13">
        <v>105</v>
      </c>
      <c r="H462" s="13">
        <v>5</v>
      </c>
    </row>
    <row r="463" spans="1:8" ht="17" hidden="1" customHeight="1" x14ac:dyDescent="0.35">
      <c r="A463" s="6" t="str">
        <f>MID(C463,2,FIND(")",C463,1)-5)</f>
        <v xml:space="preserve">105.6 </v>
      </c>
      <c r="B463" t="str">
        <f>IF(ISNUMBER(FIND("[PASSED]",C463,1)),"PASSED","FAILED")</f>
        <v>PASSED</v>
      </c>
      <c r="C463" s="19" t="s">
        <v>23</v>
      </c>
      <c r="D463" s="6"/>
      <c r="G463" s="13">
        <v>105</v>
      </c>
      <c r="H463" s="13">
        <v>6</v>
      </c>
    </row>
    <row r="464" spans="1:8" ht="17" hidden="1" customHeight="1" x14ac:dyDescent="0.35">
      <c r="A464" s="6" t="e">
        <f>MID(C464,2,FIND(")",C464,1)-5)</f>
        <v>#VALUE!</v>
      </c>
      <c r="B464" t="str">
        <f>IF(ISNUMBER(FIND("[PASSED]",C464,1)),"PASSED","FAILED")</f>
        <v>PASSED</v>
      </c>
      <c r="C464" s="19" t="s">
        <v>502</v>
      </c>
      <c r="D464" s="6"/>
      <c r="G464" s="13" t="e">
        <v>#VALUE!</v>
      </c>
    </row>
    <row r="465" spans="1:12" ht="17" hidden="1" customHeight="1" x14ac:dyDescent="0.35">
      <c r="A465" s="6" t="e">
        <f>MID(C465,2,FIND(")",C465,1)-5)</f>
        <v>#VALUE!</v>
      </c>
      <c r="B465" t="str">
        <f>IF(ISNUMBER(FIND("[PASSED]",C465,1)),"PASSED","FAILED")</f>
        <v>PASSED</v>
      </c>
      <c r="C465" s="19" t="s">
        <v>503</v>
      </c>
      <c r="D465" s="6"/>
      <c r="G465" s="13" t="e">
        <v>#VALUE!</v>
      </c>
    </row>
    <row r="467" spans="1:12" s="16" customFormat="1" ht="17" customHeight="1" x14ac:dyDescent="0.35">
      <c r="C467" s="15"/>
      <c r="D467" s="15"/>
      <c r="G467" s="15"/>
      <c r="H467" s="15"/>
      <c r="I467" s="15"/>
      <c r="J467" s="15"/>
      <c r="K467" s="15"/>
      <c r="L467" s="15"/>
    </row>
    <row r="468" spans="1:12" s="16" customFormat="1" ht="17" customHeight="1" x14ac:dyDescent="0.35">
      <c r="C468" s="15"/>
      <c r="D468" s="15"/>
      <c r="G468" s="15"/>
      <c r="H468" s="15"/>
      <c r="I468" s="15"/>
      <c r="J468" s="15"/>
      <c r="K468" s="15"/>
      <c r="L468" s="15"/>
    </row>
    <row r="469" spans="1:12" s="16" customFormat="1" ht="17" customHeight="1" x14ac:dyDescent="0.35">
      <c r="C469" s="15" t="s">
        <v>507</v>
      </c>
      <c r="D469" s="15"/>
      <c r="G469" s="15"/>
      <c r="H469" s="15"/>
      <c r="I469" s="15"/>
      <c r="J469" s="15"/>
      <c r="K469" s="15"/>
      <c r="L469" s="15"/>
    </row>
    <row r="470" spans="1:12" s="16" customFormat="1" ht="17" customHeight="1" x14ac:dyDescent="0.35">
      <c r="C470" s="15"/>
      <c r="D470" s="15"/>
      <c r="G470" s="15"/>
      <c r="H470" s="15"/>
      <c r="I470" s="15"/>
      <c r="J470" s="15"/>
      <c r="K470" s="15"/>
      <c r="L470" s="15"/>
    </row>
    <row r="471" spans="1:12" s="16" customFormat="1" ht="17" customHeight="1" x14ac:dyDescent="0.35">
      <c r="C471" s="15"/>
      <c r="D471" s="15"/>
      <c r="G471" s="15"/>
      <c r="H471" s="15"/>
      <c r="I471" s="15"/>
      <c r="J471" s="15"/>
      <c r="K471" s="15"/>
      <c r="L471" s="15"/>
    </row>
  </sheetData>
  <autoFilter ref="A6:F465" xr:uid="{0E45186F-163D-43CA-BFD2-85ACCE2573B3}">
    <filterColumn colId="1">
      <filters>
        <filter val="FAILED"/>
      </filters>
    </filterColumn>
  </autoFilter>
  <sortState xmlns:xlrd2="http://schemas.microsoft.com/office/spreadsheetml/2017/richdata2" ref="A7:L465">
    <sortCondition ref="G7:G465"/>
    <sortCondition ref="H7:H465"/>
    <sortCondition ref="I7:I465"/>
    <sortCondition ref="J7:J465"/>
    <sortCondition ref="K7:K465"/>
    <sortCondition ref="L7:L465"/>
  </sortState>
  <conditionalFormatting sqref="B1:B465">
    <cfRule type="cellIs" dxfId="1" priority="1" operator="equal">
      <formula>"FAILED"</formula>
    </cfRule>
    <cfRule type="cellIs" dxfId="0" priority="2" operator="equal">
      <formula>"PASSED"</formula>
    </cfRule>
  </conditionalFormatting>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23bcc05-bb70-448c-b869-ca05feb44454">
      <Terms xmlns="http://schemas.microsoft.com/office/infopath/2007/PartnerControls"/>
    </lcf76f155ced4ddcb4097134ff3c332f>
    <TaxCatchAll xmlns="636f7450-4f64-45f7-aa6c-f98af71a66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D1E9D9E8C516145ACFBCB6BAA5EA879" ma:contentTypeVersion="18" ma:contentTypeDescription="Create a new document." ma:contentTypeScope="" ma:versionID="2a2f1d7922f04b277a2f685ca03032dc">
  <xsd:schema xmlns:xsd="http://www.w3.org/2001/XMLSchema" xmlns:xs="http://www.w3.org/2001/XMLSchema" xmlns:p="http://schemas.microsoft.com/office/2006/metadata/properties" xmlns:ns2="c23bcc05-bb70-448c-b869-ca05feb44454" xmlns:ns3="636f7450-4f64-45f7-aa6c-f98af71a66c2" targetNamespace="http://schemas.microsoft.com/office/2006/metadata/properties" ma:root="true" ma:fieldsID="e36422c9d7f3f2cf8f1f8e714f1f01d7" ns2:_="" ns3:_="">
    <xsd:import namespace="c23bcc05-bb70-448c-b869-ca05feb44454"/>
    <xsd:import namespace="636f7450-4f64-45f7-aa6c-f98af71a66c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3bcc05-bb70-448c-b869-ca05feb444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19baf7f-2ee6-4b6f-b5be-33529f2789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6f7450-4f64-45f7-aa6c-f98af71a66c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af25e87-4811-4e47-9d32-60b0716b28e5}" ma:internalName="TaxCatchAll" ma:showField="CatchAllData" ma:web="636f7450-4f64-45f7-aa6c-f98af71a66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344293-AA61-4769-B199-0BF3041967BD}">
  <ds:schemaRefs>
    <ds:schemaRef ds:uri="http://schemas.microsoft.com/office/2006/metadata/properties"/>
    <ds:schemaRef ds:uri="http://schemas.microsoft.com/office/infopath/2007/PartnerControls"/>
    <ds:schemaRef ds:uri="c23bcc05-bb70-448c-b869-ca05feb44454"/>
    <ds:schemaRef ds:uri="636f7450-4f64-45f7-aa6c-f98af71a66c2"/>
  </ds:schemaRefs>
</ds:datastoreItem>
</file>

<file path=customXml/itemProps2.xml><?xml version="1.0" encoding="utf-8"?>
<ds:datastoreItem xmlns:ds="http://schemas.openxmlformats.org/officeDocument/2006/customXml" ds:itemID="{DA6DE07B-4DE4-4CB5-93FB-8B3AD6DE2355}">
  <ds:schemaRefs>
    <ds:schemaRef ds:uri="http://schemas.microsoft.com/sharepoint/v3/contenttype/forms"/>
  </ds:schemaRefs>
</ds:datastoreItem>
</file>

<file path=customXml/itemProps3.xml><?xml version="1.0" encoding="utf-8"?>
<ds:datastoreItem xmlns:ds="http://schemas.openxmlformats.org/officeDocument/2006/customXml" ds:itemID="{3DEF485D-7429-4622-8A9C-7A0C094A16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3bcc05-bb70-448c-b869-ca05feb44454"/>
    <ds:schemaRef ds:uri="636f7450-4f64-45f7-aa6c-f98af71a66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Greene</dc:creator>
  <cp:lastModifiedBy>Evan Greene</cp:lastModifiedBy>
  <dcterms:created xsi:type="dcterms:W3CDTF">2026-03-26T13:46:58Z</dcterms:created>
  <dcterms:modified xsi:type="dcterms:W3CDTF">2026-03-30T16:35:49Z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0x0101005D1E9D9E8C516145ACFBCB6BAA5EA879</vt:lpwstr>
  </property>
  <property fmtid="{D5CDD505-2E9C-101B-9397-08002B2CF9AE}" pid="3" name="MediaServiceImageTags">
    <vt:lpwstr/>
  </property>
</Properties>
</file>