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tumfoundation.sharepoint.com/sites/IT/Shared Documents/documentation/Horne/Controls Assessments/IS17 Review Baseline Workstation &amp; Server Image (Annually)/2026/Endpoint/Audits/Audit 3/"/>
    </mc:Choice>
  </mc:AlternateContent>
  <xr:revisionPtr revIDLastSave="454" documentId="8_{04E70FB9-D1D4-4653-8F85-04D9A6DC7712}" xr6:coauthVersionLast="47" xr6:coauthVersionMax="47" xr10:uidLastSave="{441708F9-2313-4EC1-97AF-2FDAC2F23ADB}"/>
  <bookViews>
    <workbookView xWindow="-110" yWindow="-110" windowWidth="38620" windowHeight="21100" xr2:uid="{6D423A4A-7A00-466B-B920-3508EE6F38B8}"/>
  </bookViews>
  <sheets>
    <sheet name="Sheet1" sheetId="1" r:id="rId1"/>
  </sheets>
  <definedNames>
    <definedName name="_xlnm._FilterDatabase" localSheetId="0" hidden="1">Sheet1!$A$6:$L$463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1" i="1" l="1"/>
  <c r="B452" i="1"/>
  <c r="B453" i="1"/>
  <c r="B454" i="1"/>
  <c r="B455" i="1"/>
  <c r="B456" i="1"/>
  <c r="B457" i="1"/>
  <c r="B458" i="1"/>
  <c r="B459" i="1"/>
  <c r="B460" i="1"/>
  <c r="B461" i="1"/>
  <c r="B462" i="1"/>
  <c r="B463" i="1"/>
  <c r="B212" i="1"/>
  <c r="B213" i="1"/>
  <c r="B214" i="1"/>
  <c r="B215" i="1"/>
  <c r="B224" i="1"/>
  <c r="B225" i="1"/>
  <c r="B226" i="1"/>
  <c r="B227" i="1"/>
  <c r="B228" i="1"/>
  <c r="B229" i="1"/>
  <c r="B230" i="1"/>
  <c r="B231" i="1"/>
  <c r="B232" i="1"/>
  <c r="B233" i="1"/>
  <c r="B216" i="1"/>
  <c r="B234" i="1"/>
  <c r="B235" i="1"/>
  <c r="B236" i="1"/>
  <c r="B237" i="1"/>
  <c r="B238" i="1"/>
  <c r="B239" i="1"/>
  <c r="B240" i="1"/>
  <c r="B241" i="1"/>
  <c r="B242" i="1"/>
  <c r="B243" i="1"/>
  <c r="B217" i="1"/>
  <c r="B244" i="1"/>
  <c r="B245" i="1"/>
  <c r="B246" i="1"/>
  <c r="B218" i="1"/>
  <c r="B219" i="1"/>
  <c r="B220" i="1"/>
  <c r="B221" i="1"/>
  <c r="B222" i="1"/>
  <c r="B223" i="1"/>
  <c r="B247" i="1"/>
  <c r="B248" i="1"/>
  <c r="B249" i="1"/>
  <c r="B250" i="1"/>
  <c r="B251" i="1"/>
  <c r="B252" i="1"/>
  <c r="B253" i="1"/>
  <c r="B254" i="1"/>
  <c r="B255" i="1"/>
  <c r="B256" i="1"/>
  <c r="B257" i="1"/>
  <c r="B258" i="1"/>
  <c r="B259" i="1"/>
  <c r="B260" i="1"/>
  <c r="B261" i="1"/>
  <c r="B262" i="1"/>
  <c r="B263" i="1"/>
  <c r="B264" i="1"/>
  <c r="B265" i="1"/>
  <c r="B266" i="1"/>
  <c r="B267" i="1"/>
  <c r="B276" i="1"/>
  <c r="B277" i="1"/>
  <c r="B278" i="1"/>
  <c r="B279" i="1"/>
  <c r="B280" i="1"/>
  <c r="B281" i="1"/>
  <c r="B282" i="1"/>
  <c r="B283" i="1"/>
  <c r="B284" i="1"/>
  <c r="B285" i="1"/>
  <c r="B268" i="1"/>
  <c r="B286" i="1"/>
  <c r="B287" i="1"/>
  <c r="B288" i="1"/>
  <c r="B289" i="1"/>
  <c r="B269" i="1"/>
  <c r="B270" i="1"/>
  <c r="B271" i="1"/>
  <c r="B272" i="1"/>
  <c r="B273" i="1"/>
  <c r="B274" i="1"/>
  <c r="B275" i="1"/>
  <c r="B8" i="1"/>
  <c r="B9" i="1"/>
  <c r="B58" i="1"/>
  <c r="B59" i="1"/>
  <c r="B60" i="1"/>
  <c r="B61" i="1"/>
  <c r="B70" i="1"/>
  <c r="B71" i="1"/>
  <c r="B72" i="1"/>
  <c r="B73" i="1"/>
  <c r="B62" i="1"/>
  <c r="B63" i="1"/>
  <c r="B64" i="1"/>
  <c r="B65" i="1"/>
  <c r="B66" i="1"/>
  <c r="B67" i="1"/>
  <c r="B68" i="1"/>
  <c r="B69" i="1"/>
  <c r="B74" i="1"/>
  <c r="B75" i="1"/>
  <c r="B76" i="1"/>
  <c r="B77" i="1"/>
  <c r="B78" i="1"/>
  <c r="B79" i="1"/>
  <c r="B80" i="1"/>
  <c r="B81" i="1"/>
  <c r="B82" i="1"/>
  <c r="B83" i="1"/>
  <c r="B84" i="1"/>
  <c r="B85" i="1"/>
  <c r="B86" i="1"/>
  <c r="B87" i="1"/>
  <c r="B88" i="1"/>
  <c r="B51" i="1"/>
  <c r="B89" i="1"/>
  <c r="B90" i="1"/>
  <c r="B91" i="1"/>
  <c r="B52" i="1"/>
  <c r="B53" i="1"/>
  <c r="B54" i="1"/>
  <c r="B55" i="1"/>
  <c r="B56" i="1"/>
  <c r="B57" i="1"/>
  <c r="B129" i="1"/>
  <c r="B130" i="1"/>
  <c r="B131" i="1"/>
  <c r="B132" i="1"/>
  <c r="B133" i="1"/>
  <c r="B134" i="1"/>
  <c r="B135" i="1"/>
  <c r="B136" i="1"/>
  <c r="B137" i="1"/>
  <c r="B138" i="1"/>
  <c r="B139" i="1"/>
  <c r="B140" i="1"/>
  <c r="B141" i="1"/>
  <c r="B142" i="1"/>
  <c r="B143" i="1"/>
  <c r="B144" i="1"/>
  <c r="B147" i="1"/>
  <c r="B145" i="1"/>
  <c r="B146" i="1"/>
  <c r="B92" i="1"/>
  <c r="B93" i="1"/>
  <c r="B148" i="1"/>
  <c r="B149" i="1"/>
  <c r="B150" i="1"/>
  <c r="B162" i="1"/>
  <c r="B163" i="1"/>
  <c r="B164" i="1"/>
  <c r="B151" i="1"/>
  <c r="B152" i="1"/>
  <c r="B153" i="1"/>
  <c r="B154" i="1"/>
  <c r="B155" i="1"/>
  <c r="B156" i="1"/>
  <c r="B157" i="1"/>
  <c r="B158" i="1"/>
  <c r="B159" i="1"/>
  <c r="B160" i="1"/>
  <c r="B161" i="1"/>
  <c r="B165" i="1"/>
  <c r="B166" i="1"/>
  <c r="B167" i="1"/>
  <c r="B168" i="1"/>
  <c r="B94" i="1"/>
  <c r="B95" i="1"/>
  <c r="B169" i="1"/>
  <c r="B170" i="1"/>
  <c r="B171" i="1"/>
  <c r="B172" i="1"/>
  <c r="B173" i="1"/>
  <c r="B174" i="1"/>
  <c r="B175" i="1"/>
  <c r="B176" i="1"/>
  <c r="B177" i="1"/>
  <c r="B178" i="1"/>
  <c r="B179" i="1"/>
  <c r="B180" i="1"/>
  <c r="B181" i="1"/>
  <c r="B96" i="1"/>
  <c r="B97" i="1"/>
  <c r="B98" i="1"/>
  <c r="B99" i="1"/>
  <c r="B100" i="1"/>
  <c r="B101" i="1"/>
  <c r="B102" i="1"/>
  <c r="B103" i="1"/>
  <c r="B104" i="1"/>
  <c r="B105" i="1"/>
  <c r="B106" i="1"/>
  <c r="B107" i="1"/>
  <c r="B116" i="1"/>
  <c r="B117" i="1"/>
  <c r="B118" i="1"/>
  <c r="B119" i="1"/>
  <c r="B120" i="1"/>
  <c r="B108" i="1"/>
  <c r="B109" i="1"/>
  <c r="B110" i="1"/>
  <c r="B111" i="1"/>
  <c r="B112" i="1"/>
  <c r="B113" i="1"/>
  <c r="B114" i="1"/>
  <c r="B115" i="1"/>
  <c r="B121" i="1"/>
  <c r="B122" i="1"/>
  <c r="B123" i="1"/>
  <c r="B124" i="1"/>
  <c r="B125" i="1"/>
  <c r="B126" i="1"/>
  <c r="B127" i="1"/>
  <c r="B128" i="1"/>
  <c r="B10" i="1"/>
  <c r="B11" i="1"/>
  <c r="B12" i="1"/>
  <c r="B13" i="1"/>
  <c r="B14" i="1"/>
  <c r="B15" i="1"/>
  <c r="B24" i="1"/>
  <c r="B25" i="1"/>
  <c r="B26" i="1"/>
  <c r="B27" i="1"/>
  <c r="B16" i="1"/>
  <c r="B17" i="1"/>
  <c r="B18" i="1"/>
  <c r="B19" i="1"/>
  <c r="B20" i="1"/>
  <c r="B21" i="1"/>
  <c r="B22" i="1"/>
  <c r="B23" i="1"/>
  <c r="B34" i="1"/>
  <c r="B35" i="1"/>
  <c r="B36" i="1"/>
  <c r="B37" i="1"/>
  <c r="B38" i="1"/>
  <c r="B28" i="1"/>
  <c r="B29" i="1"/>
  <c r="B30" i="1"/>
  <c r="B31" i="1"/>
  <c r="B32" i="1"/>
  <c r="B33" i="1"/>
  <c r="B39" i="1"/>
  <c r="B48" i="1"/>
  <c r="B49" i="1"/>
  <c r="B40" i="1"/>
  <c r="B41" i="1"/>
  <c r="B42" i="1"/>
  <c r="B43" i="1"/>
  <c r="B44" i="1"/>
  <c r="B45" i="1"/>
  <c r="B46" i="1"/>
  <c r="B47" i="1"/>
  <c r="B50" i="1"/>
  <c r="B290" i="1"/>
  <c r="B291" i="1"/>
  <c r="B292" i="1"/>
  <c r="B301" i="1"/>
  <c r="B302" i="1"/>
  <c r="B303" i="1"/>
  <c r="B304" i="1"/>
  <c r="B305" i="1"/>
  <c r="B306" i="1"/>
  <c r="B307" i="1"/>
  <c r="B308" i="1"/>
  <c r="B309" i="1"/>
  <c r="B310" i="1"/>
  <c r="B293" i="1"/>
  <c r="B311" i="1"/>
  <c r="B312" i="1"/>
  <c r="B313" i="1"/>
  <c r="B314" i="1"/>
  <c r="B315" i="1"/>
  <c r="B316" i="1"/>
  <c r="B317" i="1"/>
  <c r="B318" i="1"/>
  <c r="B319" i="1"/>
  <c r="B320" i="1"/>
  <c r="B294" i="1"/>
  <c r="B321" i="1"/>
  <c r="B322" i="1"/>
  <c r="B323" i="1"/>
  <c r="B324" i="1"/>
  <c r="B325" i="1"/>
  <c r="B326" i="1"/>
  <c r="B295" i="1"/>
  <c r="B296" i="1"/>
  <c r="B297" i="1"/>
  <c r="B298" i="1"/>
  <c r="B299" i="1"/>
  <c r="B300" i="1"/>
  <c r="B327" i="1"/>
  <c r="B328" i="1"/>
  <c r="B329" i="1"/>
  <c r="B330" i="1"/>
  <c r="B331" i="1"/>
  <c r="B332" i="1"/>
  <c r="B333" i="1"/>
  <c r="B334" i="1"/>
  <c r="B335" i="1"/>
  <c r="B336" i="1"/>
  <c r="B182" i="1"/>
  <c r="B191" i="1"/>
  <c r="B192" i="1"/>
  <c r="B193" i="1"/>
  <c r="B194" i="1"/>
  <c r="B195" i="1"/>
  <c r="B196" i="1"/>
  <c r="B197" i="1"/>
  <c r="B198" i="1"/>
  <c r="B199" i="1"/>
  <c r="B200" i="1"/>
  <c r="B183" i="1"/>
  <c r="B201" i="1"/>
  <c r="B202" i="1"/>
  <c r="B203" i="1"/>
  <c r="B204" i="1"/>
  <c r="B205" i="1"/>
  <c r="B206" i="1"/>
  <c r="B207" i="1"/>
  <c r="B208" i="1"/>
  <c r="B184" i="1"/>
  <c r="B185" i="1"/>
  <c r="B186" i="1"/>
  <c r="B187" i="1"/>
  <c r="B188" i="1"/>
  <c r="B189" i="1"/>
  <c r="B190" i="1"/>
  <c r="B337" i="1"/>
  <c r="B338" i="1"/>
  <c r="B339" i="1"/>
  <c r="B340" i="1"/>
  <c r="B341" i="1"/>
  <c r="B342" i="1"/>
  <c r="B343" i="1"/>
  <c r="B344" i="1"/>
  <c r="B345" i="1"/>
  <c r="B346" i="1"/>
  <c r="B347" i="1"/>
  <c r="B348" i="1"/>
  <c r="B349" i="1"/>
  <c r="B350" i="1"/>
  <c r="B351" i="1"/>
  <c r="B352" i="1"/>
  <c r="B209" i="1"/>
  <c r="B210" i="1"/>
  <c r="B211" i="1"/>
  <c r="B353" i="1"/>
  <c r="B354" i="1"/>
  <c r="B355" i="1"/>
  <c r="B356" i="1"/>
  <c r="B357" i="1"/>
  <c r="B358" i="1"/>
  <c r="B359" i="1"/>
  <c r="B360" i="1"/>
  <c r="B361" i="1"/>
  <c r="B370" i="1"/>
  <c r="B371" i="1"/>
  <c r="B372" i="1"/>
  <c r="B373" i="1"/>
  <c r="B374" i="1"/>
  <c r="B375" i="1"/>
  <c r="B376" i="1"/>
  <c r="B377" i="1"/>
  <c r="B378" i="1"/>
  <c r="B379" i="1"/>
  <c r="B362" i="1"/>
  <c r="B380" i="1"/>
  <c r="B381" i="1"/>
  <c r="B382" i="1"/>
  <c r="B383" i="1"/>
  <c r="B384" i="1"/>
  <c r="B385" i="1"/>
  <c r="B386" i="1"/>
  <c r="B387" i="1"/>
  <c r="B388" i="1"/>
  <c r="B389" i="1"/>
  <c r="B363" i="1"/>
  <c r="B390" i="1"/>
  <c r="B391" i="1"/>
  <c r="B392" i="1"/>
  <c r="B393" i="1"/>
  <c r="B394" i="1"/>
  <c r="B395" i="1"/>
  <c r="B396" i="1"/>
  <c r="B397" i="1"/>
  <c r="B398" i="1"/>
  <c r="B399" i="1"/>
  <c r="B364" i="1"/>
  <c r="B400" i="1"/>
  <c r="B401" i="1"/>
  <c r="B402" i="1"/>
  <c r="B365" i="1"/>
  <c r="B366" i="1"/>
  <c r="B367" i="1"/>
  <c r="B368" i="1"/>
  <c r="B369" i="1"/>
  <c r="B403" i="1"/>
  <c r="B412" i="1"/>
  <c r="B413" i="1"/>
  <c r="B414" i="1"/>
  <c r="B415" i="1"/>
  <c r="B416" i="1"/>
  <c r="B417" i="1"/>
  <c r="B418" i="1"/>
  <c r="B419" i="1"/>
  <c r="B420" i="1"/>
  <c r="B421" i="1"/>
  <c r="B404" i="1"/>
  <c r="B422" i="1"/>
  <c r="B423" i="1"/>
  <c r="B424" i="1"/>
  <c r="B425" i="1"/>
  <c r="B426" i="1"/>
  <c r="B427" i="1"/>
  <c r="B428" i="1"/>
  <c r="B429" i="1"/>
  <c r="B430" i="1"/>
  <c r="B431" i="1"/>
  <c r="B405" i="1"/>
  <c r="B432" i="1"/>
  <c r="B433" i="1"/>
  <c r="B434" i="1"/>
  <c r="B435" i="1"/>
  <c r="B436" i="1"/>
  <c r="B437" i="1"/>
  <c r="B406" i="1"/>
  <c r="B407" i="1"/>
  <c r="B408" i="1"/>
  <c r="B409" i="1"/>
  <c r="B410" i="1"/>
  <c r="B411" i="1"/>
  <c r="B438" i="1"/>
  <c r="B439" i="1"/>
  <c r="B440" i="1"/>
  <c r="B441" i="1"/>
  <c r="B442" i="1"/>
  <c r="B443" i="1"/>
  <c r="B444" i="1"/>
  <c r="B445" i="1"/>
  <c r="B446" i="1"/>
  <c r="B447" i="1"/>
  <c r="B448" i="1"/>
  <c r="A451" i="1"/>
  <c r="A452" i="1"/>
  <c r="A453" i="1"/>
  <c r="A454" i="1"/>
  <c r="A455" i="1"/>
  <c r="A456" i="1"/>
  <c r="A457" i="1"/>
  <c r="A458" i="1"/>
  <c r="A459" i="1"/>
  <c r="A460" i="1"/>
  <c r="A461" i="1"/>
  <c r="A462" i="1"/>
  <c r="A463" i="1"/>
  <c r="A212" i="1"/>
  <c r="A213" i="1"/>
  <c r="A214" i="1"/>
  <c r="A215" i="1"/>
  <c r="A224" i="1"/>
  <c r="A225" i="1"/>
  <c r="A226" i="1"/>
  <c r="A227" i="1"/>
  <c r="A228" i="1"/>
  <c r="A229" i="1"/>
  <c r="A230" i="1"/>
  <c r="A231" i="1"/>
  <c r="A232" i="1"/>
  <c r="A233" i="1"/>
  <c r="A216" i="1"/>
  <c r="A234" i="1"/>
  <c r="A235" i="1"/>
  <c r="A236" i="1"/>
  <c r="A237" i="1"/>
  <c r="A238" i="1"/>
  <c r="A239" i="1"/>
  <c r="A240" i="1"/>
  <c r="A241" i="1"/>
  <c r="A242" i="1"/>
  <c r="A243" i="1"/>
  <c r="A217" i="1"/>
  <c r="A244" i="1"/>
  <c r="A245" i="1"/>
  <c r="A246" i="1"/>
  <c r="A218" i="1"/>
  <c r="A219" i="1"/>
  <c r="A220" i="1"/>
  <c r="A221" i="1"/>
  <c r="A222" i="1"/>
  <c r="A223" i="1"/>
  <c r="A247" i="1"/>
  <c r="A248" i="1"/>
  <c r="A249" i="1"/>
  <c r="A250" i="1"/>
  <c r="A251" i="1"/>
  <c r="A252" i="1"/>
  <c r="A253" i="1"/>
  <c r="A254" i="1"/>
  <c r="A255" i="1"/>
  <c r="A256" i="1"/>
  <c r="A257" i="1"/>
  <c r="A258" i="1"/>
  <c r="A259" i="1"/>
  <c r="A260" i="1"/>
  <c r="A261" i="1"/>
  <c r="A262" i="1"/>
  <c r="A263" i="1"/>
  <c r="A264" i="1"/>
  <c r="A265" i="1"/>
  <c r="A266" i="1"/>
  <c r="A267" i="1"/>
  <c r="A276" i="1"/>
  <c r="A277" i="1"/>
  <c r="A278" i="1"/>
  <c r="A279" i="1"/>
  <c r="A280" i="1"/>
  <c r="A281" i="1"/>
  <c r="A282" i="1"/>
  <c r="A283" i="1"/>
  <c r="A284" i="1"/>
  <c r="A285" i="1"/>
  <c r="A268" i="1"/>
  <c r="A286" i="1"/>
  <c r="A287" i="1"/>
  <c r="A288" i="1"/>
  <c r="A289" i="1"/>
  <c r="A269" i="1"/>
  <c r="A270" i="1"/>
  <c r="A271" i="1"/>
  <c r="A272" i="1"/>
  <c r="A273" i="1"/>
  <c r="A274" i="1"/>
  <c r="A275" i="1"/>
  <c r="A8" i="1"/>
  <c r="A9" i="1"/>
  <c r="A58" i="1"/>
  <c r="A59" i="1"/>
  <c r="A60" i="1"/>
  <c r="A61" i="1"/>
  <c r="A70" i="1"/>
  <c r="A71" i="1"/>
  <c r="A72" i="1"/>
  <c r="A73" i="1"/>
  <c r="A62" i="1"/>
  <c r="A63" i="1"/>
  <c r="A64" i="1"/>
  <c r="A65" i="1"/>
  <c r="A66" i="1"/>
  <c r="A67" i="1"/>
  <c r="A68" i="1"/>
  <c r="A69" i="1"/>
  <c r="A74" i="1"/>
  <c r="A75" i="1"/>
  <c r="A76" i="1"/>
  <c r="A77" i="1"/>
  <c r="A78" i="1"/>
  <c r="A79" i="1"/>
  <c r="A80" i="1"/>
  <c r="A81" i="1"/>
  <c r="A82" i="1"/>
  <c r="A83" i="1"/>
  <c r="A84" i="1"/>
  <c r="A85" i="1"/>
  <c r="A86" i="1"/>
  <c r="A87" i="1"/>
  <c r="A88" i="1"/>
  <c r="A51" i="1"/>
  <c r="A89" i="1"/>
  <c r="A90" i="1"/>
  <c r="A91" i="1"/>
  <c r="A52" i="1"/>
  <c r="A53" i="1"/>
  <c r="A54" i="1"/>
  <c r="A55" i="1"/>
  <c r="A56" i="1"/>
  <c r="A57" i="1"/>
  <c r="A129" i="1"/>
  <c r="A130" i="1"/>
  <c r="A131" i="1"/>
  <c r="A132" i="1"/>
  <c r="A133" i="1"/>
  <c r="A134" i="1"/>
  <c r="A135" i="1"/>
  <c r="A136" i="1"/>
  <c r="A137" i="1"/>
  <c r="A138" i="1"/>
  <c r="A139" i="1"/>
  <c r="A140" i="1"/>
  <c r="A141" i="1"/>
  <c r="A142" i="1"/>
  <c r="A143" i="1"/>
  <c r="A144" i="1"/>
  <c r="A147" i="1"/>
  <c r="A145" i="1"/>
  <c r="A146" i="1"/>
  <c r="A92" i="1"/>
  <c r="A93" i="1"/>
  <c r="A148" i="1"/>
  <c r="A149" i="1"/>
  <c r="A150" i="1"/>
  <c r="A162" i="1"/>
  <c r="A163" i="1"/>
  <c r="A164" i="1"/>
  <c r="A151" i="1"/>
  <c r="A152" i="1"/>
  <c r="A153" i="1"/>
  <c r="A154" i="1"/>
  <c r="A155" i="1"/>
  <c r="A156" i="1"/>
  <c r="A157" i="1"/>
  <c r="A158" i="1"/>
  <c r="A159" i="1"/>
  <c r="A160" i="1"/>
  <c r="A161" i="1"/>
  <c r="A165" i="1"/>
  <c r="A166" i="1"/>
  <c r="A167" i="1"/>
  <c r="A168" i="1"/>
  <c r="A94" i="1"/>
  <c r="A95" i="1"/>
  <c r="A169" i="1"/>
  <c r="A170" i="1"/>
  <c r="A171" i="1"/>
  <c r="A172" i="1"/>
  <c r="A173" i="1"/>
  <c r="A174" i="1"/>
  <c r="A175" i="1"/>
  <c r="A176" i="1"/>
  <c r="A177" i="1"/>
  <c r="A178" i="1"/>
  <c r="A179" i="1"/>
  <c r="A180" i="1"/>
  <c r="A181" i="1"/>
  <c r="A96" i="1"/>
  <c r="A97" i="1"/>
  <c r="A98" i="1"/>
  <c r="A99" i="1"/>
  <c r="A100" i="1"/>
  <c r="A101" i="1"/>
  <c r="A102" i="1"/>
  <c r="A103" i="1"/>
  <c r="A104" i="1"/>
  <c r="A105" i="1"/>
  <c r="A106" i="1"/>
  <c r="A107" i="1"/>
  <c r="A116" i="1"/>
  <c r="A117" i="1"/>
  <c r="A118" i="1"/>
  <c r="A119" i="1"/>
  <c r="A120" i="1"/>
  <c r="A108" i="1"/>
  <c r="A109" i="1"/>
  <c r="A110" i="1"/>
  <c r="A111" i="1"/>
  <c r="A112" i="1"/>
  <c r="A113" i="1"/>
  <c r="A114" i="1"/>
  <c r="A115" i="1"/>
  <c r="A121" i="1"/>
  <c r="A122" i="1"/>
  <c r="A123" i="1"/>
  <c r="A124" i="1"/>
  <c r="A125" i="1"/>
  <c r="A126" i="1"/>
  <c r="A127" i="1"/>
  <c r="A128" i="1"/>
  <c r="A10" i="1"/>
  <c r="A11" i="1"/>
  <c r="A12" i="1"/>
  <c r="A13" i="1"/>
  <c r="A14" i="1"/>
  <c r="A15" i="1"/>
  <c r="A24" i="1"/>
  <c r="A25" i="1"/>
  <c r="A26" i="1"/>
  <c r="A27" i="1"/>
  <c r="A16" i="1"/>
  <c r="A17" i="1"/>
  <c r="A18" i="1"/>
  <c r="A19" i="1"/>
  <c r="A20" i="1"/>
  <c r="A21" i="1"/>
  <c r="A22" i="1"/>
  <c r="A23" i="1"/>
  <c r="A34" i="1"/>
  <c r="A35" i="1"/>
  <c r="A36" i="1"/>
  <c r="A37" i="1"/>
  <c r="A38" i="1"/>
  <c r="A28" i="1"/>
  <c r="A29" i="1"/>
  <c r="A30" i="1"/>
  <c r="A31" i="1"/>
  <c r="A32" i="1"/>
  <c r="A33" i="1"/>
  <c r="A39" i="1"/>
  <c r="A48" i="1"/>
  <c r="A49" i="1"/>
  <c r="A40" i="1"/>
  <c r="A41" i="1"/>
  <c r="A42" i="1"/>
  <c r="A43" i="1"/>
  <c r="A44" i="1"/>
  <c r="A45" i="1"/>
  <c r="A46" i="1"/>
  <c r="A47" i="1"/>
  <c r="A50" i="1"/>
  <c r="A290" i="1"/>
  <c r="A291" i="1"/>
  <c r="A292" i="1"/>
  <c r="A301" i="1"/>
  <c r="A302" i="1"/>
  <c r="A303" i="1"/>
  <c r="A304" i="1"/>
  <c r="A305" i="1"/>
  <c r="A306" i="1"/>
  <c r="A307" i="1"/>
  <c r="A308" i="1"/>
  <c r="A309" i="1"/>
  <c r="A310" i="1"/>
  <c r="A293" i="1"/>
  <c r="A311" i="1"/>
  <c r="A312" i="1"/>
  <c r="A313" i="1"/>
  <c r="A314" i="1"/>
  <c r="A315" i="1"/>
  <c r="A316" i="1"/>
  <c r="A317" i="1"/>
  <c r="A318" i="1"/>
  <c r="A319" i="1"/>
  <c r="A320" i="1"/>
  <c r="A294" i="1"/>
  <c r="A321" i="1"/>
  <c r="A322" i="1"/>
  <c r="A323" i="1"/>
  <c r="A324" i="1"/>
  <c r="A325" i="1"/>
  <c r="A326" i="1"/>
  <c r="A295" i="1"/>
  <c r="A296" i="1"/>
  <c r="A297" i="1"/>
  <c r="A298" i="1"/>
  <c r="A299" i="1"/>
  <c r="A300" i="1"/>
  <c r="A327" i="1"/>
  <c r="A328" i="1"/>
  <c r="A329" i="1"/>
  <c r="A330" i="1"/>
  <c r="A331" i="1"/>
  <c r="A332" i="1"/>
  <c r="A333" i="1"/>
  <c r="A334" i="1"/>
  <c r="A335" i="1"/>
  <c r="A336" i="1"/>
  <c r="A182" i="1"/>
  <c r="A191" i="1"/>
  <c r="A192" i="1"/>
  <c r="A193" i="1"/>
  <c r="A194" i="1"/>
  <c r="A195" i="1"/>
  <c r="A196" i="1"/>
  <c r="A197" i="1"/>
  <c r="A198" i="1"/>
  <c r="A199" i="1"/>
  <c r="A200" i="1"/>
  <c r="A183" i="1"/>
  <c r="A201" i="1"/>
  <c r="A202" i="1"/>
  <c r="A203" i="1"/>
  <c r="A204" i="1"/>
  <c r="A205" i="1"/>
  <c r="A206" i="1"/>
  <c r="A207" i="1"/>
  <c r="A208" i="1"/>
  <c r="A184" i="1"/>
  <c r="A185" i="1"/>
  <c r="A186" i="1"/>
  <c r="A187" i="1"/>
  <c r="A188" i="1"/>
  <c r="A189" i="1"/>
  <c r="A190" i="1"/>
  <c r="A337" i="1"/>
  <c r="A338" i="1"/>
  <c r="A339" i="1"/>
  <c r="A340" i="1"/>
  <c r="A341" i="1"/>
  <c r="A342" i="1"/>
  <c r="A343" i="1"/>
  <c r="A344" i="1"/>
  <c r="A345" i="1"/>
  <c r="A346" i="1"/>
  <c r="A347" i="1"/>
  <c r="A348" i="1"/>
  <c r="A349" i="1"/>
  <c r="A350" i="1"/>
  <c r="A351" i="1"/>
  <c r="A352" i="1"/>
  <c r="A209" i="1"/>
  <c r="A210" i="1"/>
  <c r="A211" i="1"/>
  <c r="A353" i="1"/>
  <c r="A354" i="1"/>
  <c r="A355" i="1"/>
  <c r="A356" i="1"/>
  <c r="A357" i="1"/>
  <c r="A358" i="1"/>
  <c r="A359" i="1"/>
  <c r="A360" i="1"/>
  <c r="A361" i="1"/>
  <c r="A370" i="1"/>
  <c r="A371" i="1"/>
  <c r="A372" i="1"/>
  <c r="A373" i="1"/>
  <c r="A374" i="1"/>
  <c r="A375" i="1"/>
  <c r="A376" i="1"/>
  <c r="A377" i="1"/>
  <c r="A378" i="1"/>
  <c r="A379" i="1"/>
  <c r="A362" i="1"/>
  <c r="A380" i="1"/>
  <c r="A381" i="1"/>
  <c r="A382" i="1"/>
  <c r="A383" i="1"/>
  <c r="A384" i="1"/>
  <c r="A385" i="1"/>
  <c r="A386" i="1"/>
  <c r="A387" i="1"/>
  <c r="A388" i="1"/>
  <c r="A389" i="1"/>
  <c r="A363" i="1"/>
  <c r="A390" i="1"/>
  <c r="A391" i="1"/>
  <c r="A392" i="1"/>
  <c r="A393" i="1"/>
  <c r="A394" i="1"/>
  <c r="A395" i="1"/>
  <c r="A396" i="1"/>
  <c r="A397" i="1"/>
  <c r="A398" i="1"/>
  <c r="A399" i="1"/>
  <c r="A364" i="1"/>
  <c r="A400" i="1"/>
  <c r="A401" i="1"/>
  <c r="A402" i="1"/>
  <c r="A365" i="1"/>
  <c r="A366" i="1"/>
  <c r="A367" i="1"/>
  <c r="A368" i="1"/>
  <c r="A369" i="1"/>
  <c r="A403" i="1"/>
  <c r="A412" i="1"/>
  <c r="A413" i="1"/>
  <c r="A414" i="1"/>
  <c r="A415" i="1"/>
  <c r="A416" i="1"/>
  <c r="A417" i="1"/>
  <c r="A418" i="1"/>
  <c r="A419" i="1"/>
  <c r="A420" i="1"/>
  <c r="A421" i="1"/>
  <c r="A404" i="1"/>
  <c r="A422" i="1"/>
  <c r="A423" i="1"/>
  <c r="A424" i="1"/>
  <c r="A425" i="1"/>
  <c r="A426" i="1"/>
  <c r="A427" i="1"/>
  <c r="A428" i="1"/>
  <c r="A429" i="1"/>
  <c r="A430" i="1"/>
  <c r="A431" i="1"/>
  <c r="A405" i="1"/>
  <c r="A432" i="1"/>
  <c r="A433" i="1"/>
  <c r="A434" i="1"/>
  <c r="A435" i="1"/>
  <c r="A436" i="1"/>
  <c r="A437" i="1"/>
  <c r="A406" i="1"/>
  <c r="A407" i="1"/>
  <c r="A408" i="1"/>
  <c r="A409" i="1"/>
  <c r="A410" i="1"/>
  <c r="A411" i="1"/>
  <c r="A438" i="1"/>
  <c r="A439" i="1"/>
  <c r="A440" i="1"/>
  <c r="A441" i="1"/>
  <c r="A442" i="1"/>
  <c r="A443" i="1"/>
  <c r="A444" i="1"/>
  <c r="A445" i="1"/>
  <c r="A446" i="1"/>
  <c r="A447" i="1"/>
  <c r="A448" i="1"/>
  <c r="A450" i="1"/>
  <c r="B450" i="1"/>
  <c r="B3" i="1"/>
  <c r="A7" i="1" l="1"/>
  <c r="A449" i="1"/>
  <c r="B7" i="1"/>
  <c r="B449" i="1"/>
  <c r="B1" i="1" l="1"/>
  <c r="B2" i="1"/>
  <c r="B4" i="1" l="1"/>
</calcChain>
</file>

<file path=xl/sharedStrings.xml><?xml version="1.0" encoding="utf-8"?>
<sst xmlns="http://schemas.openxmlformats.org/spreadsheetml/2006/main" count="569" uniqueCount="508">
  <si>
    <t>Passed</t>
  </si>
  <si>
    <t>Failed</t>
  </si>
  <si>
    <t>No Action Required</t>
  </si>
  <si>
    <t>Remediations Required</t>
  </si>
  <si>
    <t>CIS Section</t>
  </si>
  <si>
    <t>Status</t>
  </si>
  <si>
    <t>Description</t>
  </si>
  <si>
    <t>"4.1.3.1 (L1) Ensure 'Prevent enabling lock screen camera' is set to 'Enabled': [PASSED]"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configuration profiles, set the following Settings Catalog path to Enabled
Administrative Templates\Control Panel\Personalization\Prevent enabling lock screen camera
Impact:
If you enable this setting, users will no longer be able to enable or disable lock screen camera access in PC Settings, and the camera cannot be invoked on the lock screen.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</si>
  <si>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"89.28 (L1) Ensure 'Modify Object Label' is set to 'No One':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configuration profiles, set the following Settings Catalog path to (&lt;![CDATA[]]&gt;) which equals No One
User Rights\Modify Object Label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</si>
  <si>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"15.1 (L1) Ensure 'Config refresh' is set to 'Enabled': [PASSED]"
This policy setting determines whether or not MDM policies are refreshed on the system.
The recommended state for this setting is: Enabled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Enabled
Config Refresh\Config refresh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'PASS'
Actual Value:
'PASS'</t>
  </si>
  <si>
    <t>"49.2 (L1) Ensure 'Accounts: Limit local account use of blank passwords to console logon only' is set to 'Enabled':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configuration profiles, set the following Settings Catalog path to Enabled :
Local Policies Security Options\Accounts: Limit local account use of blank passwords to console logon only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
Actual Value:
1</t>
  </si>
  <si>
    <t>"38.17 (L1) Ensure 'Enable Public Network Firewall: Allow Local Policy Merge' is set to 'False': [PASSED]"
This setting controls whether local administrators are allowed to create local firewall rules that apply together with firewall rules configured by Group Policy.
The recommended state for this setting is: False
Note: When the Allow Local Policy Merge setting is configured to False it's recommended to also configure the Disable Inbound Notifications setting to True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configuration profiles, set the following Settings Catalog path to False :
Firewall\Enable Public Network Firewall: Allow Local Policy Merge
Impact:
Administrators can still create firewall rules, but the rules will not be applied.
See Also:
https://workbench.cisecurity.org/benchmarks/21719
Reference:
800-171|3.13.1, 800-171|3.13.5, 800-171|3.13.6, 800-171r3|03.13.01, 800-171r3|03.13.06, 800-53|SC-7, 800-53|SC-7(5), 800-53r5|SC-7, 800-53r5|SC-7(5), CN-L3|7.1.2.2(c), CN-L3|8.1.10.6(j), CSCv7|9.4, CSCv7|11.3,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</si>
  <si>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"89.6 (L1) Ensure 'Change System Time' is set to 'Administrators, LOCAL SERVICE':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*S-1-5-32-544 and *S-1-5-19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configuration profiles, set the following Settings Catalog path to *S-1-5-32-544 and *S-1-5-19 (Administrators, LOCAL SERVICE).
User Rights\Change System Time
Note: Include only one User or Group per line in the Settings Catalog configuration screen.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Actual Value:
'administrators' &amp;&amp; 'local service'</t>
  </si>
  <si>
    <t>"105.2 (L1) Ensure 'Password Age Days' is set to 'Configured: 30 or fewer': [PASSED]"
This policy setting configures the Windows LAPS Password Settings policy for password age.
Because attackers can crack passwords, the more frequently the password is changed the less opportunity an attacker has to use a cracked password.
The recommended state for this setting is: Configured: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Age Days to Configured: 30 (or fewer)
Impact:
None - this is the default behavior, unless set to fewer than 30 days.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[7..30]
Actual Value:
7</t>
  </si>
  <si>
    <t>"4.11.15.3.1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Service\Setup\Control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</si>
  <si>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"4.11.36.4.3.2 (L1) Ensure 'Do not allow drive redirection' is set to 'Enabled': [PASSED]"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configuration profiles, set the following Settings Catalog path to Enabled
Administrative Templates\Windows Components\Remote Desktop Services\Remote Desktop Session Host\Device and Resource Redirection\Do not allow drive redirection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1
Actual Value:
1</t>
  </si>
  <si>
    <t>"4.5.1 (L1) Ensure 'MSS: (AutoAdminLogon) Enable Automatic Logon (not recommended)' is set to 'Disabled':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configuration profiles, set the following Settings Catalog path to `Disabled.
Administrative Templates\MSS (Legacy)\MSS: (AutoAdminLogon) Enable Automatic Logon (not recommended)
Impact:
None - this is the default behavior.
Warning:
Windows Autopilot - Policy Conflicts
: Windows Autopilot pre-provisioning doesn't work when this policy setting is Disabled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</si>
  <si>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"4.10.5.1 (L1) Ensure 'Encryption Oracle Remediation' is set to 'Enabled: Force Updated Clients': [PASSED]"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from Windows Vista onwards are affected by this vulnerability, and will be compatible with this recommendation provided that they have been patched at least through May 2018 (or later).
Solution:
To establish the recommended configuration via configuration profiles, set the following Settings Catalog path to Enabled: Force Updated Clients
Administrative Templates\System\Credentials Delegation\Encryption Oracle Remediation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https://workbench.cisecurity.org/benchmarks/21719
Reference:
800-53|SI-16, 800-53r5|SI-16, CSCv7|3.4, CSCv8|10.5, CSF2.0|PR.DS-10, GDPR|32.1.b, HIPAA|164.306(a)(1), ITSG-33|SI-16, LEVEL|1A
Policy Value:
0
Actual Value:
0</t>
  </si>
  <si>
    <t>"4.10.19.2 (L1) Ensure 'Turn off background refresh of Group Policy' is set to 'Disabled':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configuration profiles, set the following Settings Catalog path to Disabled
Administrative Templates\System\Group Policy\Turn off background refresh of Group
Impact:
None - this is the default behavior.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'HKLM\Software\Microsoft\Windows\CurrentVersion\Policies\System'
Actual Value:
'HKLM\Software\Microsoft\Windows\CurrentVersion\Policies\System_registry_does_not_exist'</t>
  </si>
  <si>
    <t>"4.10.26.5 (L1) Ensure 'Turn off app notifications on the lock screen' is set to 'Enabled': [PASSED]"
This policy setting allows you to prevent app notifications from appearing on the lock screen.
The recommended state for this setting is: Enabled
Warning: If the
Self Service Password Reset (SSPR)
feature is used in Microsoft Entra ID, an exception to this recommendation is needed as it's known to interfere with SSPR.
App notifications might display sensitive business or personal data.
Solution:
To establish the recommended configuration via configuration profiles, set the following Settings Catalog path to Enabled
Administrative Templates\System\Logon\Turn off app notifications on the lock screen
Impact:
No app notifications are displayed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1</t>
  </si>
  <si>
    <t>"6.27 (L1) Ensure 'System Audit System Integrity' is set to 'Success and Failure': [PASSED]"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</si>
  <si>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"4.11.3.1 (L1) Ensure 'Allow Microsoft accounts to be optional' is set to 'Enabled': [PASSED]"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configuration profiles, set the following Settings Catalog path to Enabled
Administrative Templates\Windows Components\App runtime\Allow Microsoft accounts to be optional
Impact:
Windows Store apps that typically require a Microsoft account to sign in will allow users to sign in with an enterprise account instead.
See Also:
https://workbench.cisecurity.org/benchmarks/21719
Reference:
800-171|3.1.1, 800-171r3|03.01.01, 800-53|AC-2(1), 800-53r5|AC-2(1), CN-L3|7.1.3.2(d), CSCv7|16.2,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</si>
  <si>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"49.3 (L1) Configure 'Accounts: Rename administrator account': [PASSED]"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configuration profiles, set the following Settings Catalog path:
Local Policies 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'\b[Aa]dmin(istrator)?'
Actual Value:
'nonsa'</t>
  </si>
  <si>
    <t>"105.6 (L1) Ensure 'Post Authentication Reset Delay' is set to 'Configured: 8 or fewer hours, but not 0': [PASSED]"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Configured: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Reset Delay to Configured: 8 (or fewer hours, but not 0)
Impact:
After 8 hours, the Windows LAPS managed account password will be reset and log off the system.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[1..8]
Actual Value:
8</t>
  </si>
  <si>
    <t>"50.1 (L1) Ensure 'Configure Lsa Protected Process is set to 'Enabled with UEFI Lock...': [PASSED]"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with UEFI lock. LSA will run as protected process and this configuration is UEFI locked
Provides added security for the credentials that LSA stores and manages. Enabling this setting with UEFI Lock prevents the setting from being changed remotely.
Solution:
To establish the recommended configuration via configuration profiles, set the following Settings Catalog path to Enabled with UEFI lock...
Local Security Authority\Configure Lsa Protected Process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
See Also:
https://workbench.cisecurity.org/benchmarks/21719
Reference:
800-53|SI-16, 800-53r5|SI-16, CSCv8|10.5, CSF2.0|PR.DS-10, GDPR|32.1.b, HIPAA|164.306(a)(1), ITSG-33|SI-16, LEVEL|1A
Policy Value:
1
Actual Value:
1</t>
  </si>
  <si>
    <t>"81.3 (L1) Ensure 'Computer Browser (Browser)' is set to 'Disabled' or 'Not Installed': [PASSED]"
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 will also remediate this recommendation. The feature is not installed by default starting with Windows 10 R1709.
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
Solution:
To establish the recommended configuration, set the following Custom Configuration Policy to 4 or confirm that the service is Not installed :
Name:  &lt;Enter name&gt;
Description: &lt;Enter Description&gt;
OMA-URI: ./Device/Vendor/MSFT/Policy/Config/SystemServices/ConfigureComputerBrowserServiceStartupMode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if(Test-Path -LiteralPath 'HKLM:\SYSTEM\CurrentControlSet\Services\Browser') {
    Set-ItemProperty -LiteralPath 'HKLM:\SYSTEM\CurrentControlSet\Services\Browser' -Name 'Start' -Value 4 -Verbose
}
Note: This service is not installed in Windows 10 R1709 and newer. Running the cmdlet Set-Service or Get-Service aganist 'Browser' will cause a inadvertent match against a similarly named service called bowser which also has the DisplayName of Browser which will then throw an error. bowser is actually the NT Lan Manager Datagram Receiver Driver Using the literal registry path above avoids that error.
Impact:
The list of computers and their shares on the network will not be updated or maintained.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</si>
  <si>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"4.11.8.1 (L1) Ensure 'Do not display the password reveal button' is set to 'Enabled': [PASSED]"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configuration profiles, set the following Settings Catalog path to Enabled
Administrative Templates\Windows Components\Credential User Interface\Do not display the password reveal button
Impact:
The password reveal button will not be displayed after a user types a password in the password entry text box.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
Actual Value:
1</t>
  </si>
  <si>
    <t>"4.11.55.1.2 (L1) Ensure 'Allow unencrypted traffic' is set to 'Disabled': [PASSED]"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Client\Allow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</si>
  <si>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"6.13 (L1) Ensure 'Audit Security System Extension' is set to include 'Success': [PASSED]"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</si>
  <si>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"89.11 (L1) Ensure 'Create Token' is set to 'No One':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configuration profiles, set the following Settings Catalog path to (&lt;![CDATA[]]&gt;) which equals No One
User Rights\Create Token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</si>
  <si>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"80.7 (L1) Ensure 'Limit Diagnostic Log Collection' is set to 'Enabled': [PASSED]"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configuration profiles, set the following Settings Catalog path to Enabled :
System\Limit Diagnostic Log Collection
Impact:
Diagnostic logs and information such as crash dumps will not be collected for transmission to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</si>
  <si>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"24.2 (L1) Ensure 'Credential Guard' is set to 'Enabled with UEFI lock': [PASSED]"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Credential Guard cannot be disabled remotely.
Solution:
To establish the recommended configuration via configuration profiles, set the following Settings Catalog path to Enabled with UEFI lock :
Device Guard\Credential Guard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https://workbench.cisecurity.org/benchmarks/21719
Reference:
800-53|SI-16, 800-53r5|SI-16, CSCv7|8.3, CSCv8|10.5, CSF2.0|PR.DS-10, GDPR|32.1.b, HIPAA|164.306(a)(1), ITSG-33|SI-16, LEVEL|1A
Policy Value:
1
Actual Value:
1</t>
  </si>
  <si>
    <t>"22.11 (L1) Ensure 'ASR: Block executable content from email client and webmail' is set to 'Block': [PASSED]"
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executable content from email client and webmail
Impact:
When a rule is triggered, a notification will be displayed from the Action Center.
See Also:
https://workbench.cisecurity.org/benchmarks/21719
Reference:
800-53|SI-16, 800-53r5|SI-16, CSCv7|8.3, CSCv8|10.5, CSF2.0|PR.DS-10, GDPR|32.1.b, HIPAA|164.306(a)(1), ITSG-33|SI-16, LEVEL|1A
Policy Value:
'\b(?i)be9ba2d9-53ea-4cdc-84e5-9b1eeee46550=1\b'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</si>
  <si>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"22.30 (L1) Ensure 'Quick Scan Include Exclusions' is set to '1': [PASSED]"
This policy setting manages whether or not Microsoft Defender Antivirus scans excluded files and directories when running a Quick Scan.
The recommended state for this setting is: If you set this setting to 1, all files and directories that are excluded from real-time protection using contextual exclusions are scanned during a quick scan
Note: As of the publication of this Benchmark, the setting configuration state in Intune is the sentence above after
The recommended state for this setting is:
and not
1
as the title states. This was done to keep title length to a minimum.
The Real-time Protection feature excludes some files and directories for contextual reasons. This setting ensures that these are scanned during a Quick Scan.
Solution:
To establish the recommended configuration via configuration profiles, set the following Settings Catalog path to If you set this setting to 1, all files and directories that are excluded from real-time protection using contextual exclusions are scanned during a quick scan
Defender\Quick Scan Include Exclusions
Impact:
A Quick Scan could take longer when including the contextually excluded files and directories.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</si>
  <si>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"4.11.10.3 (L1) Ensure 'Enable App Installer ms-appinstaller protocol' is set to 'Disabled': [PASSED]"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configuration profiles, set the following Settings Catalog path to Disabled :
Administrative Templates\Windows Components\Desktop App Installer\Enable App Installer ms-appinstaller protocol
Impact:
Users will not have the ability to use the ms-appinstaller protocol to install applications by clicking a link on a website.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</si>
  <si>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"26.9 (L1) Ensure 'Minimum Password Age' is set to '1 or more day(s)': [PASSED]"
This security setting determines the period of time (in days) that a password must be used before the user can change it. You can set a value between 1 and 998 days, or you can allow changes immediately by setting the number of days to 0.
The recommended state for this setting is: 1 or more day(s))
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configuration profiles, set the following Settings Catalog path to 1 (or more day(s)):
Device Lock\Minimum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1
Actual Value:
1</t>
  </si>
  <si>
    <t>"4.1.3.2 (L1) Ensure 'Prevent enabling lock screen slide show' is set to 'Enabled': [PASSED]"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configuration profiles, set the following Settings Catalog path to Enabled
Administrative Templates\Control Panel\Personalization\Prevent enabling lock screen slide show
Impact:
If you enable this setting, users will no longer be able to modify slide show settings in PC Settings, and no slide show will ever 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</si>
  <si>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"4.5.9 (L1) Ensure 'MSS: (SafeDllSearchMode) Enable Safe DLL search mode (recommended)' is set to 'Enabled': [PASSED]"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configuration profiles, set the following Settings Catalog path to Enabled
Administrative Templates\MSS (Legacy)\MSS: (SafeDllSearchMode) Enable Safe DLL search mode (recommended)
Impact:
None - this is the default behavior.
See Also:
https://workbench.cisecurity.org/benchmarks/21719
Reference:
800-53|SI-16, 800-53r5|SI-16, CSCv7|8.3, CSCv8|10.5, CSF2.0|PR.DS-10, GDPR|32.1.b, HIPAA|164.306(a)(1), ITSG-33|SI-16, LEVEL|1A
Policy Value:
1
Actual Value:
1</t>
  </si>
  <si>
    <t>"4.11.50.1 (L1) Ensure 'Enable MPR notifications for the system' is set to 'Disabled': [PASSED]"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this functionality can be used by legitimate applications, it can also be abused by attackers to harvest logon information.
Solution:
To establish the recommended configuration via configuration profiles, set the following Settings Catalog path to Disabled :
Administrative Templates\Windows Components\Windows Logon Options\Enable MPR notifications for the system
Impact:
Winlogon will not send Multiple Provider Router (MPR) notifications on the system. This setting may also cause issues with reconnecting to drives.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</si>
  <si>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"26.1 (L1) Ensure 'Device Password Enabled' is set to 'Enabled': [PASSED]"
This policy setting specifics whether device lock is enabled. when enabled, the following policy settings take effect on the system which are included in the Device Lock Section:
 - AllowSimpleDevicePassword
 - MinDevicePasswordLength
 - AlphanumericDevicePasswordRequired
 - MaxDevicePasswordFailedAttempts
 - MaxInactivityTimeDeviceLock
 - MinDevicePasswordComplexCharacters
The recommended state for this setting is: Enabled
This policy setting allows for the configuration of settings such as those contained in the password and device lock policy.
Solution:
To establish the recommended configuration via configuration profiles, set the following Settings Catalog path to `3Enabled:
Device Lock\Device Password Enabled
Impact:
This setting is not supported if MDMWinsOverGP is enabled. MDMWinsOverGP is a setting that ensures MDM policies win over Active Directory Group Policies.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PASSED
Actual Value:
PASSED</t>
  </si>
  <si>
    <t>"90.1 (L1) Ensure 'Hypervisor Enforced Code Integrity' is set to 'Enabled with UEFI lock': [PASSED]"
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Virtualization Based Protection of Code Integrity cannot be disabled remotely.
Solution:
To establish the recommended configuration via configuration profiles, set the following Settings Catalog path to Enabled with UEFI lock
Virtualization Based Technology\Hypervisor Enforced Code Integrity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</si>
  <si>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"89.14 (L1) Ensure 'Deny Local Log On' to include 'Guests': [PASSED]"
This security setting determines which users are prevented from logging on at the computer. This policy setting supersedes the Allow log on locally policy setting if an account is subject to both policies.
The recommended state for this setting is to include: *S-1-5-32-546 (Guests).
Important: If you apply this security policy to the Everyone group, no one will be able to log on locally.
Warning: The help text in Intune associated with this recommendation is for the setting,
Deny log on as a service
and not this setting.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(Guests).
User Rights\Deny Local Log On
Note: Include only one User or Group per line in the Settings Catalog configuration screen.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</si>
  <si>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"6.4 (L1) Ensure 'Account Logon Logoff Audit Logoff' is set to include 'Success':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configuration profiles, set the following Settings Catalog path to Success
Auditing\Account Logon Logoff 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</si>
  <si>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"4.7.9 (L1) Ensure 'Manage processing of Queue-specific files: Manage processing of Queue-Specific files' is set to 'Enabled: Limit Queue-specific files to Color profiles': [PASSED]"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configuration profiles, set the following Settings Catalog path to Enabled: Limit Queue-specific files to Color profiles :
Administrative Templates\Printers\Manage processing of Queue-specific files: Manage processing of Queue-specific files
Impact:
None - this is default behavior.
See Also:
https://workbench.cisecurity.org/benchmarks/21719
Reference:
800-53|SI-16, 800-53r5|SI-16, CSCv7|8.3, CSCv8|10.5, CSF2.0|PR.DS-10, GDPR|32.1.b, HIPAA|164.306(a)(1), ITSG-33|SI-16, LEVEL|1A
Policy Value:
1
Actual Value:
1</t>
  </si>
  <si>
    <t>"49.14 (L1) Ensure 'Microsoft network client: Send unencrypted password to third-party SMB servers' is set to 'Disabled':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configuration profiles, set the following Settings Catalog path to Disabled :
Local Policies 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</si>
  <si>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"4.11.55.2.4 (L1) Ensure 'Disallow WinRM from storing RunAs credentials' is set to 'Enabled': [PASSED]"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configuration profiles, set the following Settings Catalog path to Enabled
Administrative Templates\Windows Components\Windows Remote Management (WinRM)\WinRM Service\Disallow WinRM from storing RunAs credentials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https://workbench.cisecurity.org/benchmarks/21719
Reference:
800-171|3.13.2, 800-171|3.13.5, 800-171r3|03.13.01, 800-53|SC-7(21), 800-53r5|SC-7(21), CN-L3|8.1.10.6(j), CSCv7|14.3, CSF|PR.AC-5, CSF|PR.DS-5, CSF2.0|DE.CM-01, CSF2.0|PR.DS-01, CSF2.0|PR.DS-02, CSF2.0|PR.DS-10, CSF2.0|PR.IR-01, GDPR|32.1.b, HIPAA|164.306(a)(1), ISO-27001-2022|A.5.14, ISO-27001-2022|A.8.16, ISO-27001-2022|A.8.20, ISO/IEC-27001|A.13.1.3, ITSG-33|SC-7, LEVEL|1A, NESA|T4.5.3, NIAv2|VL6, PCI-DSSv3.2.1|1.1, PCI-DSSv3.2.1|1.2, PCI-DSSv3.2.1|1.2.1, PCI-DSSv3.2.1|1.3, PCI-DSSv4.0|1.2.1, PCI-DSSv4.0|1.4.1, QCSC-v1|5.2.1, QCSC-v1|5.2.2, QCSC-v1|6.2, QCSC-v1|8.2.1, TBA-FIISB|43.1
Policy Value:
1
Actual Value:
1</t>
  </si>
  <si>
    <t>"6.5 (L1) Ensure 'Account Logon Logoff Audit Logon' is set to 'Success and Failure':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Logoff 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</si>
  <si>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"81.27 (L1) Ensure 'SSDP Discovery (SSDPSRV)' is set to 'Disabled': [PASSED]"
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./Device/Vendor/MSFT/Policy/Config/SystemServices/ConfigureSSDPDiscoveryServiceStartupMode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SSDPSRV -StartupType Disabled
Impact:
SSDP-based devices will not be discovered.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</si>
  <si>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"89.27 (L1) Ensure 'Modify Firmware Environment' is set to 'Administrators':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*S-1-5-32-544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configuration profiles, set the following Settings Catalog path to *S-1-5-32-544 (Administrators).
User Rights\Modify Firmware Environment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</si>
  <si>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"22.4 (L1) Ensure 'Allow Realtime Monitoring' is set to 'Allowed': [PASSED]"
This policy setting configures real-time protection prompts for known malware detection.
Microsoft Defender Antivirus alerts you when malware or potentially unwanted software attempts to install itself or to run on your computer.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Realtime Monitoring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</si>
  <si>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"4.11.36.4.9.1 (L1) Ensure 'Always prompt for password upon connection' is set to 'Enabled': [PASSED]"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configuration profiles, set the following Settings Catalog path to Enabled
Administrative Templates\Windows Components\Remote Desktop Services\Remote Desktop Session Host\Security\Always prompt for password upon connection
Impact:
Users cannot automatically log on to Remote Desktop Services by supplying their passwords in the Remote Desktop Connection client. They will be prompted for a password to log on.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</si>
  <si>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"90.2 (L1) Ensure 'Require UEFI Memory Attributes Table' is set to 'Require UEFI Memory Attributes Table': [PASSED]"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Require UEFI Memory Attributes Table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This setting will help protect this control from being enabled on a system that is not compatible which could lead to a crash or data loss.
Solution:
To establish the recommended configuration via configuration profiles, set the following Settings Catalog path to Require UEFI Memory Attributes Table
Virtualization Based Technology\Require UEFI Memory Attributes Table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</si>
  <si>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"38.11 (L1) Ensure 'Enable Private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Private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</si>
  <si>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"22.20 (L1) Ensure 'ASR: Block untrusted and unsigned processes that run from USB' is set to 'Block': [PASSED]"
With this rule, admins can prevent unsigned or untrusted executable files from running from USB removable drives, including SD cards. Blocked file types include executable files (such as .exe, .dll, or .scr)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untrusted and unsigned processes that run from USB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'\b(?i)b2b3f03d-6a65-4f7b-a9c7-1c7ef74a9ba4=1\b'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</si>
  <si>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"49.26 (L1) Ensure 'Network Security Minimum Session Security For NTLMSSP Based Servers' is set to 'Require NTLM and 128-bit encryption': [PASSED]"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</si>
  <si>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"49.23 (L1) Ensure 'Network security: Do not store LAN Manager hash value on next password change' is set to 'Enabled':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configuration profiles, set the following Settings Catalog path to Enabled :
Local Policies 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1
Actual Value:
1</t>
  </si>
  <si>
    <t>"22.26 (L1) Ensure 'Enable Network Protection' is set to 'Enabled (block mode)': [PASSED]"
This policy setting controls Microsoft Defender Exploit Guard network protection.
The recommended state for this setting is: Enabled (block mode)
This setting can help prevent employees from using any application to access dangerous domains that may host phishing scams, exploit-hosting sites, and other malicious content on the Internet.
Solution:
To establish the recommended configuration via configuration profiles, set the following Settings Catalog path to Enabled (block mode) :
Defender\Enable Network Protection
Impact:
Users and applications will not be able to access dangerous domains.
See Also:
https://workbench.cisecurity.org/benchmarks/21719
Reference:
800-171|3.13.1, 800-171r3|03.13.01, 800-53|SC-7(3), 800-53|SC-7(4), 800-53|SI-16, 800-53r5|SC-7(3), 800-53r5|SC-7(4), 800-53r5|SI-16, CN-L3|8.1.10.6(j), CSCv7|7.4, CSCv7|8.3, CSCv8|9.3, CSCv8|10.5, CSF|PR.AC-5, CSF|PR.PT-4, CSF2.0|DE.CM-01, CSF2.0|PR.DS-01, CSF2.0|PR.DS-02, CSF2.0|PR.DS-10, CSF2.0|PR.IR-01, GDPR|32.1.b, HIPAA|164.306(a)(1), ISO-27001-2022|A.5.14, ISO-27001-2022|A.8.16, ISO-27001-2022|A.8.20, ISO/IEC-27001|A.13.1.3, ITSG-33|SC-7(3), ITSG-33|SC-7(4), ITSG-33|SI-16, LEVEL|1A, NESA|T4.5.4, NIAv2|GS1, NIAv2|GS2a, NIAv2|GS2b, PCI-DSSv3.2.1|1.1, PCI-DSSv3.2.1|1.2, PCI-DSSv3.2.1|1.2.1, PCI-DSSv3.2.1|1.3, PCI-DSSv4.0|1.2.1, PCI-DSSv4.0|1.4.1, QCSC-v1|5.2.1, QCSC-v1|5.2.2, QCSC-v1|6.2, QCSC-v1|8.2.1, SWIFT-CSCv1|1.1, TBA-FIISB|43.1, TBA-FIISB|44.1.2
Policy Value:
1
Actual Value:
1</t>
  </si>
  <si>
    <t>"89.10 (L1) Ensure 'Create Symbolic Links' is set to 'Administrators':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*S-1-5-32-544 (Administrators) and (when the
Hyper-V
feature is installed) *S-1-5-83-0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establish the recommended configuration via configuration profiles, set the following Settings Catalog path to *S-1-5-32-544 (Administrators) and optionally *S-1-5-83-0 (NT VIRTUAL MACHINE\Virtual Machines)
User Rights\Create Symbolic Links
Note: Include only one User or Group per line in the Settings Catalog configuration screen.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 ('Administrators' &amp;&amp; 'Virtual Machines') || ('Administrators' &amp;&amp; 'NT VIRTUAL MACHINE\Virtual Machines')
Actual Value:
'administrators'</t>
  </si>
  <si>
    <t>"22.12 (L1) Ensure 'ASR: Block executable files from running unless they meet a prevalence, age, or trusted list criterion' is set to 'Audit' or higher: [PASSED]"
This rule blocks executable files, such as .exe, .dll, or .scr, from launching. Thus, launching untrusted or unknown executable files can be risky, as it might not be initially clear if the files are malicious.
The recommended state for this setting is: Audit Configuring this setting to Block also conforms to the benchmark.
Note: Cloud-delivered protection must be enabled to use this rule.
Organizations may find implementing Block to be too strict, however in Audit mode there is still valuable information that can be logged for threat hunters to sift through and analyze.
Solution:
To establish the recommended configuration via configuration profiles, set the following Settings Catalog path to Audit or Block
Defender\Block executable files from running unless they meet a prevalence, age, or trusted list criterion
Impact:
In order to parse audit logs effectively an organization may need to implement a SIEM solution.
See Also:
https://workbench.cisecurity.org/benchmarks/21719
Reference:
800-53|SI-16, 800-53r5|SI-16, CSCv7|8.3, CSCv8|10.5, CSF2.0|PR.DS-10, GDPR|32.1.b, HIPAA|164.306(a)(1), ITSG-33|SI-16, LEVEL|1A
Policy Value:
'\b(?i)01443614-cd74-433a-b99e-2ecdc07bfc25=(1|2)\b'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</si>
  <si>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"22.1 (L1) Ensure 'Allow Behavior Monitoring' is set to 'Allowed': [PASSED]"
This policy setting allows you to configure behavior monitoring for Microsoft Defender Antivirus.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Behavior Monitoring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</si>
  <si>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"81.22 (L1) Ensure 'Routing and Remote Access (RemoteAccess)' is set to 'Disabled': [PASSED]"
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
Solution:
To establish the recommended configuration, set the following Custom Configuration Policy to 4 :
Name:  &lt;Enter name&gt;
Description: &lt;Enter Description&gt;
OMA-URI: ./Device/Vendor/MSFT/Policy/Config/SystemServices/ConfigureRoutingAndRemoteAccessServiceStartupMode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RemoteAccess -StartupType Disabled
Impact:
The computer will not be able to be configured as a Windows router between different connections.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</si>
  <si>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"22.6 (L1) Ensure 'Allow Script Scanning' is set to 'Allowed': [PASSED]"
This policy setting allows script scanning to be turned on/off. Script scanning intercepts scripts then scans them before they are executed on the system.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Script Scanning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</si>
  <si>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"4.11.55.2.3 (L1) Ensure 'Allow unencrypted traffic' is set to 'Disabled':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Service\Allow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</si>
  <si>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"38.9 (L1) Ensure 'Enable Private Network Firewall: Default Inbound Action for Private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Private Network Firewall: Default Inbound Action for Private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</si>
  <si>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"101.2 (L1) Ensure 'Allow Networking' is set to 'Not allowed': [PASSED]"
This policy setting enables or disables networking in the Windows Sandbox. Networking is achieved by creating a virtual switch on the host, and connecting the Windows Sandbox to it via a virtual Network Interface Card (NIC).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network access decreases the attack surface exposed by the Windows Sandbox and exposure of untrusted applications to the internal network.
Note: Per Microsoft, enabling networking in the Windows Sandbox can expose untrusted applications to the internal network.
Solution:
To establish the recommended configuration via configuration profiles, set the following Settings Catalog path to Not allowed
Windows Sandbox\Allow Networking
Impact:
Network access to/from the Windows Sandbox will be disabled. Therefore, files will not be able to be moved to/from the Windows Sandbox via the network.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</si>
  <si>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"49.9 (L1) Configure 'Interactive logon: Message text for users attempting to log on': [PASSED]"
This policy setting specifies a text message that displays to users when they log on. Set the following group policy to a value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configuration profiles, set the following Settings Catalog path to a value that is consistent with the security and operational requirements of your organization:
Local Policies Security Options\Interactive logon: Message text for users attempting to log on
Impact:
Users will have to acknowledge a dialog box containing the configured text before they can log on to the system.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https://workbench.cisecurity.org/benchmarks/21719
Reference:
800-171|3.1.9, 800-171r3|03.01.09, 800-53|AC-8, 800-53r5|AC-8, GDPR|32.1.b, HIPAA|164.306(a)(1), ISO-27001-2022|A.8.5, ITSG-33|AC-8, LEVEL|1A, NESA|M1.3.6, TBA-FIISB|45.2.4
Policy Value:
'This computer system is managed by the University of Mississippi Foundation. Access is hereby granted for authorized use only. By using this system, you acknowledge notice and acceptance of the UM Foundation Acceptable Use Policy.'
Actual Value:
'This computer system is managed by the University of Mississippi Foundation. Access is hereby granted for authorized use only. By using this system, you acknowledge notice and acceptance of the UM Foundation Acceptable Use Policy.'</t>
  </si>
  <si>
    <t>"49.24 (L1) Ensure 'Network security: LAN Manager authentication level' is set to 'Send LM and NTLMv2 responses only. Refuse LM and NTLM':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LM and NTLMv2 responses only. Refuse LM and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configuration profiles, set the following Settings Catalog path to: Send LM and NTLMv2 responses only. Refuse LM and NTLM :
Local Policies 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
Actual Value:
5</t>
  </si>
  <si>
    <t>"4.10.20.1.5 (L1) Ensure 'Turn off Internet download for Web publishing and online ordering wizards' is set to 'Enabled': [PASSED]"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configuration profiles, set the following Settings Catalog path to Enabled
Administrative Templates\System\Internet Communication Management\Internet Communication settings\Turn off Internet download for Web publishing and online ordering wizards
Impact:
Windows is prevented from downloading providers; only the service providers cached in the local registry are displayed.
See Also:
https://workbench.cisecurity.org/benchmarks/21719
Reference:
800-171|3.4.2, 800-171|3.4.6, 800-171|3.4.7, 800-171r3|03.04.02, 800-171r3|03.04.06, 800-53|CM-6, 800-53|CM-7, 800-53r5|CM-6, 800-53r5|CM-7, CSCv7|7.4, CSCv8|4.8, CSF|PR.IP-1, CSF|PR.PT-3, CSF2.0|DE.CM-09, CSF2.0|PR.PS-01, GDPR|32.1.b, HIPAA|164.306(a)(1), ISO-27001-2022|A.8.9, ITSG-33|CM-6, ITSG-33|CM-7, LEVEL|1A, NIAv2|SS15a, PCI-DSSv3.2.1|2.2.2, SWIFT-CSCv1|2.3
Policy Value:
1
Actual Value:
1</t>
  </si>
  <si>
    <t>"4.11.55.1.1 (L1) Ensure 'Allow Basic authentication' is set to 'Disabled': [PASSED]"
This policy setting allows you to manage whether the Windows Remote Management (WinRM) client uses Basic authentication.
The recommended state for this setting is: Disabled
Note: Clients that use Microsoft's Exchange Online service (Office 365) will require an exception to this recommendation, to instead have this setting set to Enabled. Exchange Online uses Basic authentication over HTTPS, and so the Exchange Online authentication traffic will still be safely encrypted.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Client\Allow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</si>
  <si>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"24.1 (L1) Ensure 'Configure System Guard Launch' is set to 'Unmanaged Enables Secure Launch if supported by hardware': [PASSED]"
Secure Launch protects the Virtualization Based Security environment from exploited vulnerabilities in device firmware.
The recommended state for this setting is: Unmanaged Enables Secure Launch if supported by hardware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
Solution:
To establish the recommended configuration via configuration profiles, set the following Settings Catalog path to Unmanaged Enables Secure Launch if supported by hardware :
Device Guard\Configure System Guard Launch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</si>
  <si>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"38.7 (L1) Ensure 'Enable Domain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Domain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</si>
  <si>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"89.17 (L1) Ensure 'Deny Remote Desktop Services Log On' to include 'Guests, Local account': [PASSED]"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Caution #2: Configuring a cloud system workstation as described above may result in an inability log on to the workstation. In this case, Local Accounts need this ability for the log on to succeed.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and *S-1-5-113 (Guests, Local account).
User Rights\Deny Remote Desktop Services Log On
Note: Include only one User or Group per line in the Settings Catalog configuration screen.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</si>
  <si>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"4.5.10 (L1) Ensure 'MSS: (ScreenSaverGracePeriod) The time in seconds before the screen saver grace period expires (0 recommended)' is set to 'Enabled: 5 or fewer seconds': [PASSED]"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configuration profiles, set the following Settings Catalog path to Enabled: 5 or fewer seconds
Administrative Templates\MSS (Legacy)\MSS: (ScreenSaverGracePeriod) The time in seconds before the screen saver grace period expires (0 recommended)
Impact:
Users will have to enter their passwords to resume their console sessions as soon as the grace period ends after screen saver activation.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[0..5]
Actual Value:
5</t>
  </si>
  <si>
    <t>"38.2 (L1) Ensure 'Enable Domain Network Firewall: Default Inbound Action for Domain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Domain Network Firewall: Default Inbound Action for Domain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</si>
  <si>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"24.3 (L1) Ensure 'Enable Virtualization Based Security' is set to 'Enable virtualization based security': [PASSED]"
This policy setting specifies whether Virtualization Based Security is enabled. Virtualization Based Security uses the Windows Hypervisor to provide support for security services.
The recommended state for this setting is: Enable virtualization based security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
Solution:
To establish the recommended configuration via configuration profiles, set the following Settings Catalog path to Enable virtualization based security :
Device Guard\Enable Virtualization Based Security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</si>
  <si>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"4.11.36.4.9.5 (L1) Ensure 'Set client connection encryption level' is set to 'Enabled: High Level': [PASSED]"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configuration profiles, set the following Settings Catalog path to Enabled: High Level
Administrative Templates\Windows Components\Remote Desktop Services\Remote Desktop Session Host\Security\Set client connection encryption level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3
Actual Value:
3</t>
  </si>
  <si>
    <t>"97.2 (L1) Ensure 'Facial Features Use Enhanced Anti Spoofing' is set to 'true': [PASSED]"
This policy setting determines whether enhanced anti-spoofing is configured for devices which support it.
The recommended state for this setting is: true
Enterprise managed environments are now supporting a wider range of mobile devices, increasing the security on these devices will help protect against unauthorized access on your network.
Solution:
To establish the recommended configuration via configuration profiles, set the following Settings Catalog path to true
Windows Hello For Business\Facial Features Use Enhanced Anti Spoofing
Impact:
Windows will require all users on the device to use anti-spoofing for facial features, on devices which support it.
See Also:
https://workbench.cisecurity.org/benchmarks/21719
Reference:
800-53|SC-39, 800-53|SI-16, 800-53r5|SC-39, 800-53r5|SI-16, CSCv7|8.3, CSF2.0|PR.DS-01, CSF2.0|PR.DS-10, CSF2.0|PR.IR-03, GDPR|32.1.b, HIPAA|164.306(a)(1), ITSG-33|SI-16, LEVEL|1A, QCSC-v1|5.2.1
Policy Value:
1
Actual Value:
1</t>
  </si>
  <si>
    <t>"38.5 (L1) Ensure 'Enable Domain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Domain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</si>
  <si>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"4.7.1 (L1) Ensure 'Allow Print Spooler to accept client connections' is set to 'Disabled': [PASSED]"
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configuration profiles, set the following Settings Catalog path to Disabled
Administrative Templates\Printers\Allow Print Spooler to accept client connections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2
Actual Value:
2</t>
  </si>
  <si>
    <t>"103.3 (L1) Ensure 'Defer Quality Updates Period (Days)' is set to 'Enabled: 0 days': [PASSED]"
This policy settings controls when Quality Updates are received.
The recommended state for this setting is: Enabled: 0 days
Note: If the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configuration profiles, set the following Settings Catalog path to Enabled:0 days
Windows Update for Business\Defer Quality Updates Period (Days)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</si>
  <si>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"4.6.9.1 (L1) Ensure 'Prohibit installation and configuration of Network Bridge on your DNS domain network' is set to 'Enabled': [PASSED]"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configuration profiles, set the following Settings Catalog path to Enabled
Administrative Templates\Network\Network Connections\Prohibit installation and configuration of Network Bridge on your DNS domain network
Impact:
Users cannot create or configure a Network Bridge.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CSCv7|11.3,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0
Actual Value:
0</t>
  </si>
  <si>
    <t>"4.11.5.1 (L1) Ensure 'Do not preserve zone information in file attachments (User)' is set to 'Disabled': [PASSED]"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configuration profiles, set the following Settings Catalog path to Disabled
Administrative Templates\Windows Components\Attachment Manager\Do not preserve zone information in file attachments (User)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2
Actual Value:
Compliant items:</t>
  </si>
  <si>
    <t>"6.14 (L1) Ensure 'Audit Special Logon' is set to include 'Success': [PASSED]"
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</si>
  <si>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"34.1 (L1) Ensure 'Allow Cortana' is set to 'Block': [PASSED]"
This policy setting specifies whether Cortana is allowed on the device.
The recommended state for this setting is: Block
If Cortana is enabled, sensitive information could be contained in search history and sent out to Microsoft.
Solution:
To establish the recommended configuration via configuration profiles, set the following Settings Catalog path to Block :
Experience\Allow Cortana
Impact:
Cortana will be turned off. Users will still be able to use search to find things on the device and on the Internet.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</si>
  <si>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"38.22 (L1) Ensure 'Enable Public Network Firewall: Log File Path' is set to '%SystemRoot%\System32\logfiles\firewall\publicfw.log': [PASSED]"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%SystemRoot%\System32\logfiles\firewall\publicfw.log :
Firewall\Enable Public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'%SystemRoot%\System32\logfiles\firewall\publicfw.log'
Actual Value:
'%SystemRoot%\System32\logfiles\firewall\Publicfw.log'</t>
  </si>
  <si>
    <t>"22.15 (L1) Ensure 'ASR: Block Office applications from creating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creating executable content
Impact:
When a rule is triggered, a notification will be displayed from the Action Center.
See Also:
https://workbench.cisecurity.org/benchmarks/21719
Reference:
800-53|SI-16, 800-53r5|SI-16, CSCv7|8.3, CSCv8|10.5, CSF2.0|PR.DS-10, GDPR|32.1.b, HIPAA|164.306(a)(1), ITSG-33|SI-16, LEVEL|1A
Policy Value:
'\b(?i)3b576869-a4ec-4529-8536-b80a7769e899=1\b'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</si>
  <si>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"55.8 (L1) Ensure 'MSI Always install with elevated privileges (User)'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(User)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Compliant items:</t>
  </si>
  <si>
    <t>"38.6 (L1) Ensure 'Enable Domain Network Firewall: Log File Path' is set to '%SystemRoot%\System32\logfiles\firewall\domainfw.log': [PASSED]"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%SystemRoot%\System32\logfiles\firewall\domainfw.log :
Firewall\Enable Domain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'%SystemRoot%\System32\logfiles\firewall\domainfw.log'
Actual Value:
'%SystemRoot%\System32\logfiles\firewall\domainfw.log'</t>
  </si>
  <si>
    <t>"6.8 (L1) Ensure 'Audit Authorization Policy Change' is set to include 'Success': [PASSED]"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</si>
  <si>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"38.1 (L1) Ensure 'Enable Domain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
Firewall\Enable Domain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</si>
  <si>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"22.3 (L1) Ensure 'Allow Full Scan Removable Drive Scanning' is set to 'Allowed': [PASSED]"
This policy setting allows you to manage whether or not to scan for malicious software and unwanted software in the contents of removable drives, such as USB flash drives, when running a full scan.
The recommended state for this setting is: Allowed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configuration profiles, set the following Settings Catalog path to Allowed
Defender Antivirus\Allow Full Scan Removable Drive Scanning
Impact:
Removable drives will be scanned during any type of scan by Microsoft Defender Antivirus.
See Also:
https://workbench.cisecurity.org/benchmarks/21719
Reference:
800-171|3.8.7, 800-171|3.14.2, 800-171|3.14.4, 800-171|3.14.5, 800-171r3|03.08.07, 800-171r3|03.14.02, 800-53|MP-7, 800-53|SI-3, 800-53r5|MP-7, 800-53r5|SI-3, CN-L3|7.1.3.6(b), CN-L3|8.1.4.5, CN-L3|8.1.9.6(a), CN-L3|8.1.9.6(b), CN-L3|8.1.10.5(b), CN-L3|8.1.10.7(a), CN-L3|8.1.10.7(b), CN-L3|8.5.4.1(c), CSCv7|8.4, CSCv8|10.4, CSF|DE.CM-4, CSF|DE.DP-3, CSF|PR.PT-2, CSF2.0|PR.DS-01, CSF2.0|PR.DS-02, CSF2.0|PR.DS-10, GDPR|32.1.b, HIPAA|164.306(a)(1), HIPAA|164.312(a)(1), ISO-27001-2022|A.5.10, ISO-27001-2022|A.7.10, ISO-27001-2022|A.8.7, ISO/IEC-27001|A.8.3.1, ISO/IEC-27001|A.8.3.3, ISO/IEC-27001|A.12.2.1, ITSG-33|SI-3, LEVEL|1A, NESA|T1.4.1, NIAv2|GS8a, PCI-DSSv3.2.1|5.1, PCI-DSSv3.2.1|5.1.1, PCI-DSSv4.0|5.2.1, QCSC-v1|3.2, QCSC-v1|5.2.3, QCSC-v1|8.2.1, TBA-FIISB|49.2.1, TBA-FIISB|49.2.2, TBA-FIISB|49.3.1, TBA-FIISB|49.3.2, TBA-FIISB|50.2.1, TBA-FIISB|51.2.4, TBA-FIISB|51.2.7
Policy Value:
1
Actual Value:
1</t>
  </si>
  <si>
    <t>"89.35 (L1) Ensure 'Take Ownership' is set to 'Administrators': [PASSED]"
This policy setting allows users to take ownership of files, folders, registry keys, processes, or threads. This user right bypasses any permissions that are in place to protect objects to give ownership to the specified user.
The recommended state for this setting is: *S-1-5-32-544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configuration profiles, set the following Settings Catalog path to *S-1-5-32-544 (Administrators).
User Rights\Take Ownership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</si>
  <si>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"22.13 (L1) Ensure 'ASR: Block execution of potentially obfuscated scripts'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execution of potentially obfuscated scripts
Impact:
When a rule is triggered, a notification will be displayed from the Action Center.
See Also:
https://workbench.cisecurity.org/benchmarks/21719
Reference:
800-53|SI-16, 800-53r5|SI-16, CSCv7|8.3, CSCv8|10.5, CSF2.0|PR.DS-10, GDPR|32.1.b, HIPAA|164.306(a)(1), ITSG-33|SI-16, LEVEL|1A
Policy Value:
'\b(?i)5beb7efe-fd9a-4556-801d-275e5ffc04cc=(1|2)\b'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</si>
  <si>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"4.10.19.1 (L1) Ensure 'Continue experiences on this device' is set to 'Disabled': [PASSED]"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configuration profiles, set the following Settings Catalog path to Disabled
Administrative Templates\System\Group Policy\Continue experiences on this device
Impact:
The Windows device will not be discoverable by other devices, and cannot participate in cross-device experiences.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</si>
  <si>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"49.35 (L1) Ensure 'User Account Control: Virtualize file and registry write failures to per-user locations' is set to 'Enabled':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
Solution:
To establish the recommended configuration via configuration profiles, set the following Settings Catalog path to Enabled :
Local Policies Security Options\User Account Control: Virtualize file and registry write failures to per-user locations
Impact:
None - this is the default behavior.
See Also:
https://workbench.cisecurity.org/benchmarks/21719
Reference:
800-53|SC-29(1), 800-53r5|SC-29(1), GDPR|32.1.b, HIPAA|164.306(a)(1), ITSG-33|SC-29, ITSG-33|SC-29a., LEVEL|1A, QCSC-v1|5.2.1
Policy Value:
1
Actual Value:
1</t>
  </si>
  <si>
    <t>"4.6.18.1 (L1) Ensure 'Minimize the number of simultaneous connections to the Internet or a Windows Domain' is set to 'Enabled: 3 = Prevent Wi-Fi when on Ethernet': [PASSED]"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configuration profiles, set the following Settings Catalog path to Enabled: 3 = Prevent Wi-Fi when on Ethernet
Administrative Templates\Network\Windows Connection Manager\Minimize the number of simultaneous connections to the Internet or a Windows Domain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CSCv7|15.5,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
Actual Value:
3</t>
  </si>
  <si>
    <t>"89.1 (L1) Ensure 'Access Credential Manager As Trusted Caller' is set to 'No One':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configuration profiles, set the following Settings Catalog path to (&lt;![CDATA[]]&gt;) which represents No One
User Rights\Access Credential Manager As Trusted Caller
Note: Using (&lt;![CDATA[]]&gt;) to represent a blank value or No One is recommended by Microsoft. However, there is a known issue where an error occurs in Endpoint Manger (Intune) but this does not affect the policy setting from being applied properly to the system.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CSCv7|4.8,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</si>
  <si>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"6.16 (L1) Ensure 'Detailed Tracking Audit PNP Activity' is set to include 'Success': [PASSED]"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configuration profiles, set the following Settings Catalog path to Success
Auditing\Detailed Tracking 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</si>
  <si>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"4.6.4.1 (L1) Ensure 'Turn off multicast name resolution' is set to 'Enabled': [PASSED]"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configuration profiles, set the following Settings Catalog path to Enabled
Administrative Templates\Network\DNS Client\Turn off multicast name resolution
Impact:
In the event DNS is unavailable a system will be unable to request it from other systems on the same subnet.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</si>
  <si>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"22.19 (L1) Ensure 'ASR: Block process creations originating from PSExec and WMI commands' is set to 'Audit' or higher: [PASSED]"
This rule blocks processes created through PsExec and WMI from running. Both PsExec and WMI can remotely execute code.
The recommended state for this setting is: Audit Configuring this setting to Block also conforms to the benchmark.
There's a risk of malware abusing functionality of PsExec and WMI for command and control purposes, or to spread an infection throughout an organization's network.
Solution:
To establish the recommended configuration via configuration profiles, set the following Settings Catalog path to Audit or Block
Defender\Block process creations originating from PSExec and WMI commands
Impact:
Warning: Only use this rule if you're managing your devices with Intune or another MDM solution. This rule is incompatible with management through Microsoft Endpoint Configuration Manager because this rule blocks WMI commands the Configuration Manager client uses to function correctly.
It is recommended to start with Audit mode and move to Block.
See Also:
https://workbench.cisecurity.org/benchmarks/21719
Reference:
800-53|SI-16, 800-53r5|SI-16, CSCv7|8.3, CSCv8|10.5, CSF2.0|PR.DS-10, GDPR|32.1.b, HIPAA|164.306(a)(1), ITSG-33|SI-16, LEVEL|1A
Policy Value:
'\b(?i)d1e49aac-8f56-4280-b9ba-993a6d77406c=(1|2)\b'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</si>
  <si>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"105.4 (L1) Ensure 'Password Length' is set to 'Configured: 15 or more': [PASSED]"
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Configured: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Length to Configured: 15 (or more)
Impact:
Windows LAPS-generated passwords will be required to have a length of 15 characters (or more, if selected).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[15..4294967295]
Actual Value:
15</t>
  </si>
  <si>
    <t>"4.11.15.4.2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Service\System\Specify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204800</t>
  </si>
  <si>
    <t>"22.7 (L1) Ensure 'ASR: Block abuse of exploited vulnerable signed drivers' is set to 'Block': [PASSED]"
This rule prevents an application from writing a vulnerable signed driver to disk.
The recommended state for this setting is: Block
Note: The
Block abuse of exploited vulnerable signed drivers
rule does not block a driver that already exists on the system from being loaded.
Attack surface reduction helps prevent actions and apps that are typically used by exploit-seeking malware to infect systems.
Vulnerable signed drivers can be exploited by local applications that have sufficient privileges to gain access to the kernel. This enables attackers to disable or circumvent security solutions, eventually leading to system compromise.
Solution:
To establish the recommended configuration via configuration profiles, set the following Settings Catalog path to Block
Defender\Block abuse of exploited vulnerable signed drivers (Device)
Impact:
When a rule is triggered, a notification will be displayed from the Action Center.
See Also:
https://workbench.cisecurity.org/benchmarks/21719
Reference:
800-53|SI-16, 800-53r5|SI-16, CSCv7|8.3, CSCv8|10.5, CSF2.0|PR.DS-10, GDPR|32.1.b, HIPAA|164.306(a)(1), ITSG-33|SI-16, LEVEL|1A
Policy Value:
'\b(?i)56a863a9-875e-4185-98a7-b882c64b5ce5=1\b'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</si>
  <si>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"4.10.31.1 (L1) Ensure 'Enable RPC Endpoint Mapper Client Authentication' is set to 'Enabled': [PASSED]"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 so we do not recommend applying it to Domain Controllers.
Note: This policy will not in effect until the system is rebooted.
The recommended state for this setting is: Enabled
Anonymous access to RPC services could result in accidental disclosure of information to unauthenticated users.
Solution:
To establish the recommended configuration via configuration profiles, set the following Settings Catalog path to Disa Enabled`ed.
Administrative Templates\System\Remote Procedure Call\Enable RPC Endpoint Mapper Client Authentication
Impact:
RPC clients will authenticate to the Endpoint Mapper Service for calls that contain authentication information. Clients making such calls will not be able to communicate with the Windows NT4 Server Endpoint Mapper Service.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</si>
  <si>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"4.10.29.5.2 (L1) Ensure 'Require a password when a computer wakes (plugged in)'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(plugged in)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</si>
  <si>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"4.10.26.4 (L1) Ensure 'Enumerate local users on domain-joined computers' is set to 'Disabled': [PASSED]"
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Disabled
Administrative Templates\System\Logon\Enumerate local users on domain-joined computers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</si>
  <si>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"81.11 (L1) Ensure 'Microsoft FTP Service (FTPSVC)' is set to 'Disabled' or 'Not Installed': [PASSED]"
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./Device/Vendor/MSFT/Policy/Config/SystemServices/ConfigureMicrosoftFTPServiceStartupMode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FTPSVC -StartupType Disabled
Impact:
The computer will not function as an FTP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</si>
  <si>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"104.1 (L1) Ensure 'Require PIN For Pairing' is set to 'Enabled: Pairing ceremony for new devices will always require a PIN' OR 'All pairings will require PIN': [PASSED]"
This policy setting controls whether or not a PIN is required for pairing to a wireless display device.
The recommended state for this setting is: Enabled: Pairing ceremony for new devices will always require a PIN ' OR All pairings will require PIN
If this setting is not configured or disabled then a PIN would not be required when pairing wireless display devices to the system, increasing the risk of unauthorized use.
Solution:
To establish the recommended configuration via configuration profiles, set the following Settings Catalog path to Enabled: Pairing ceremony for new devices will always require a PIN ' OR All pairings will require PIN
Administrative Templates\Network\Wireless Display\Require pin pairing
Impact:
The pairing ceremony for connecting to new wireless display devices will always require a PIN.
See Also:
https://workbench.cisecurity.org/benchmarks/21719
Reference:
800-171|3.5.2, 800-171r3|03.05.12, 800-53|IA-5c., 800-53r5|IA-5c., CN-L3|7.1.2.7(d), CN-L3|8.1.4.1(a), CSF|PR.AC-1, CSF2.0|PR.AA-01, CSF2.0|PR.AA-03, GDPR|32.1.b, HIPAA|164.306(a)(1), HIPAA|164.312(a)(2)(i), HIPAA|164.312(d), ISO-27001-2022|A.5.16, ISO-27001-2022|A.5.17, ISO/IEC-27001|A.9.4.3, ITSG-33|IA-5c., LEVEL|1A, NESA|T5.2.1, NESA|T5.2.3, NESA|T5.5.2, NESA|T5.5.3, QCSC-v1|5.2.2, QCSC-v1|13.2
Policy Value:
1 || 2
Actual Value:
2</t>
  </si>
  <si>
    <t>"4.4.3 (L1) Ensure 'Configure SMB v1 server' is set to 'Disabled': [PASSED]"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Disabled
Administrative Templates\MS Security Guide\Configure SMB v1 server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0
Actual Value:
0</t>
  </si>
  <si>
    <t>"38.18 (L1) Ensure 'Enable Public Network Firewall: Default Inbound Action for Public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Public Network Firewall: Default Inbound Action for Public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</si>
  <si>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"4.11.10.2 (L1) Ensure 'Enable App Installer Hash Override' is set to 'Disabled': [PASSED]"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configuration profiles, set the following Settings Catalog path to Disabled :
Administrative Templates\Windows Components\Desktop App Installer\Enable App Installer Hash Override
Impact:
Users will not have the ability to override the SHA256 security validation.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</si>
  <si>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"22.22 (L1) Ensure 'ASR: Use advanced protection against ransomware' is set to 'Audit' or higher: [PASSED]"
This rule provides an extra layer of protection against ransomware. It uses both client and cloud heuristics to determine whether a file resembles ransomware. This rule doesn't block files that have one or more of the following characteristics:
The file has already been found to be unharmful in the Microsoft cloud.The file is a valid signed file.The file is prevalent enough to not be considered as ransomware.The rule tends to err on the side of caution to prevent ransomware.
The recommended state for this setting is: Audit Configuring this setting to Block also conforms to the benchmark.
Note: Cloud-delivered protection must be enabled to use this rule.
This ASR rule is can help an organization enhance it's protection against ransomware by using both cloud and local heuristics.
Note: Cloud-delivered protection must be enabled to use this rule.
Solution:
To establish the recommended configuration via configuration profiles, set the following Settings Catalog path to Audit or Block
Defender\Use advanced protection against ransomware
Impact:
Implementing this control could impact certain workflows, making it unsuitable for universal enforcement across the organization without first adding exceptions. Therefore, it is recommended to start in Audit mode and then move to Block mode after creating exceptions. This approach allows for a better understanding of the environment through extensive monitoring of the rule.
See Also:
https://workbench.cisecurity.org/benchmarks/21719
Reference:
800-53|SI-16, 800-53r5|SI-16, CSCv7|8.3, CSCv8|10.5, CSF2.0|PR.DS-10, GDPR|32.1.b, HIPAA|164.306(a)(1), ITSG-33|SI-16, LEVEL|1A
Policy Value:
'\b(?i)c1db55ab-c21a-4637-bb3f-a12568109d35=(1|2)\b'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</si>
  <si>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"4.11.36.4.9.3 (L1) Ensure 'Require use of specific security layer for remote (RDP) connections' is set to 'Enabled: SSL': [PASSED]"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configuration profiles, set the following Settings Catalog path to Enabled: SSL
Administrative Templates\Windows Components\Remote Desktop Services\Remote Desktop Session Host\Security\Require use of specific security layer for remote (RDP) connections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2
Actual Value:
2</t>
  </si>
  <si>
    <t>"6.21 (L1) Ensure 'Policy Change Audit MPSSVC Rule Level Policy Change' is set to 'Success and Failure': [PASSED]"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configuration profiles, set the following Settings Catalog path to Success and Failure
Auditing\Policy Change Audit MPSSVC Rule 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</si>
  <si>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"4.5.7 (L1)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configuration profiles, set the following Settings Catalog path to Enabled
Administrative Templates\MSS (Legacy)\MSS: (NoNameReleaseOnDemand) Allow the computer to ignore NetBIOS name release requests except from WINS servers
Impact:
None - this is the default behavior.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CSCv7|5.1,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1
Actual Value:
1</t>
  </si>
  <si>
    <t>"4.4.1 (L1) Ensure 'Apply UAC restrictions to local accounts on network logons' is set to 'Enabled': [PASSED]"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
Mitigating Pass-the-Hash (PtH) Attacks and Other Credential Theft Techniques
' documents.
For more information about LocalAccountTokenFilterPolicy see Microsoft Knowledge Base article 951016:
Description of User Account Control and remote restrictions in Windows Vista
.
The recommended state for this setting is: Enabled
Local accounts are at high risk for credential theft when the same account and password is configured on multiple systems. Ensuring this policy is Enabled significantly reduces that risk.
Solution:
To establish the recommended configuration via configuration profiles, set the following Settings Catalog path to Enabled
Administrative Templates\MS Security Guide\Apply UAC restrictions to local accounts on network logons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</si>
  <si>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"89.7 (L1) Ensure 'Create Global Objects' is set to 'Administrators, LOCAL SERVICE, NETWORK SERVICE, SERVICE':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*S-1-5-32-544 *S-1-5-19 *S-1-5-20 and *S-1-5-6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configuration profiles, set the following Settings Catalog path to *S-1-5-32-544 *S-1-5-19 *S-1-5-20 and *S-1-5-6 (Administrators, LOCAL SERVICE, NETWORK SERVICE, SERVICE).
User Rights\Create Global Objects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</si>
  <si>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"6.23 (L1) Ensure 'Privilege Use Audit Sensitive Privilege Use' is set to 'Success and Failure': [PASSED]"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Auditing\Privilege Use 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</si>
  <si>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"22.9 (L1) Ensure 'ASR: Block all Office applications from creating child processes'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all Office applications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'\b(?i)d4f940ab-401b-4efc-aadc-ad5f3c50688a=(1|2)\b'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</si>
  <si>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"81.10 (L1) Ensure 'LxssManager (LxssManager)' is set to 'Disabled' or 'Not Installed': [PASSED]"
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
Windows Subsystem for Linux
).
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
Solution:
To establish the recommended configuration, set the following Custom Configuration Policy to 4 or confirm that the service is Not installed :
Name:  &lt;Enter name&gt;
Description: &lt;Enter Description&gt;
OMA-URI: ./Device/Vendor/MSFT/Policy/Config/SystemServices/ConfigureLxssManagerServiceStartupMode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LxssManager -StartupType Disabled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</si>
  <si>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"22.16 (L1) Ensure 'ASR: Block Office applications from injecting code into other processes' is set to 'Block': [PASSED]"
Attackers might attempt to use Office apps to migrate malicious code into other processes through code injection, so the code can masquerade as a clean process. There are no known legitimate business purposes for using code injection.
This rule applies to Word, Excel, OneNote, and PowerPoint.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injecting code into other processes
Impact:
When a rule is triggered, a notification will be displayed from the Action Center.
Note: While Microsoft states that 'there are no known legitimate business purposes for using code injection', this ASR will trigger on legitimate processes so it is recommended to start in Audit mode before creating a list of exceptions and moving finally to Block
See Also:
https://workbench.cisecurity.org/benchmarks/21719
Reference:
800-53|SI-16, 800-53r5|SI-16, CSCv7|8.3, CSCv8|10.5, CSF2.0|PR.DS-10, GDPR|32.1.b, HIPAA|164.306(a)(1), ITSG-33|SI-16, LEVEL|1A
Policy Value:
'\b(?i)75668c1f-73b5-4cf0-bb93-3ecf5cb7cc84=1\b'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</si>
  <si>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"49.21 (L1) Ensure 'Network security: Allow Local System to use computer identity for NTLM' is set to 'Allow': [PASSED]"
This policy setting determines whether Local System services that use Negotiate when reverting to NTLM authentication can use the computer identity. This policy is supported on at least Windows 7 or Windows Server 2008 R2.
The recommended state for this setting is: Allow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configuration profiles, set the following Settings Catalog path to Allow :
Local Policies 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https://workbench.cisecurity.org/benchmarks/21719
Reference:
800-171r3|03.05.02, 800-53|IA-3, 800-53r5|IA-3, CSF|PR.AC-1, CSF2.0|PR.AA-01, CSF2.0|PR.AA-03, GDPR|32.1.b, HIPAA|164.306(a)(1), HIPAA|164.312(a)(2)(i), HIPAA|164.312(d), ITSG-33|IA-3, ITSG-33|IA-3a., LEVEL|1A, NESA|T5.4.3, QCSC-v1|13.2, TBA-FIISB|27.1
Policy Value:
1
Actual Value:
1</t>
  </si>
  <si>
    <t>"22.28 (L1) Ensure 'Oobe Enable Rtp And Sig Update' is set to 'Enabled': [PASSED]"
This policy setting configures whether Real-time Protection and Security Intelligence Updates are enabled during the Out of Box experience (OOBE).
The recommended state for this setting is: If you enable this setting, real-time protection and Security Intelligence Updates are enabled during OOBE.
Note: As of the publication of this Benchmark, the setting configuration state in Intune is the sentence above after
The recommended state for this setting is:
and not
Enabled
as the title states. This was done to keep title length to a minimum.
Critical Windows zero-day patch updates should be applied during OOBE to help mitigate against malicious attacks.
Solution:
To establish the recommended configuration via configuration profiles, set the following Settings Catalog path to If you enable this setting, real-time protection and Security Intelligence Updates are enabled during OOBE.
Defender\Oobe Enable Rtp And Sig Update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</si>
  <si>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"4.11.6.1 (L1) Ensure 'Disallow Autoplay for non-volume devices' is set to 'Enabled': [PASSED]"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configuration profiles, set the following Settings Catalog path to Enabled
Administrative Templates\Windows Components\AutoPlay Policies\Disallow Autoplay for non-volume devices
Impact:
AutoPlay will not be allowed for MTP devices like cameras or phones.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</si>
  <si>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"49.28 (L1) Ensure 'User Account Control: Behavior of the elevation prompt for administrators' is set to 'Prompt for consent on the secure desktop' or higher: [PASSED]"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configuration profiles, set the following Settings Catalog path to Prompt for consent on the secure desktop or Prompt for credentials on the secure desktop :
Local Policies Security Options\User Account Control: Behavior of the elevation prompt for administrators
Impact:
When an operation (including execution of a Windows binary) requires elevation of privilege, the user is prompted on the secure desktop to select either Permit or Deny. If the user selects Permit, the operation continues with the user's highest available privilege.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 2
Actual Value:
2</t>
  </si>
  <si>
    <t>"4.7.7 (L1) Ensure 'Configure RPC over TCP port: RPC over TCP port:' is set to 'Enabled: 0': [PASSED]"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configuration profiles, set the following Settings Catalog path to Enabled: 0 :
Administrative Templates\Printers\Configure RPC over TCP port: RPC over TCP port
Impact:
If the current print environment is configured for a specific TCP port, this setting may require a firewall change (if applicable) for continued printing.
See Also:
https://workbench.cisecurity.org/benchmarks/21719
Reference:
800-171|3.4.2, 800-171r3|03.04.02a., 800-53|CM-6b., 800-53r5|CM-6b., CN-L3|8.1.10.6(d), CSF|PR.IP-1, CSF2.0|DE.CM-09, CSF2.0|PR.PS-01, GDPR|32.1.b, HIPAA|164.306(a)(1), ISO-27001-2022|A.8.9, ITSG-33|CM-6b., LEVEL|1A, NESA|T3.2.1, SWIFT-CSCv1|2.3
Policy Value:
0
Actual Value:
0</t>
  </si>
  <si>
    <t>"4.10.26.1 (L1) Ensure 'Block user from showing account details on sign-in' is set to 'Enabled': [PASSED]"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Administrative Templates\System\Logon\Block user from showing account details on sign-in
Impact:
Users cannot choose to show account details on the sign-in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1</t>
  </si>
  <si>
    <t>"81.38 (L1) Ensure 'World Wide Web Publishing Service (W3SVC)' is set to 'Disabled' or 'Not Installed': [PASSED]"
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./Device/Vendor/MSFT/Policy/Config/SystemServices/ConfigureWorldWideWebPublishingServiceStartupMode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W3SVC -StartupType Disabled
Impact:
IIS Web Services will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</si>
  <si>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"6.9 (L1) Ensure 'Audit Changes to Audit Policy' is set to include 'Success': [PASSED]"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Changes to Audit Policy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 failure'</t>
  </si>
  <si>
    <t>"49.15 (L1) Ensure 'Microsoft network server: Digitally sign communications (always)' is set to 'Enabled': [PASSED]"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</si>
  <si>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"38.20 (L1) Ensure 'Enable Public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Public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</si>
  <si>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"89.4 (L1) Ensure 'Allow Local Log On' is set to 'Administrators, Users': [PASSED]"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*S-1-5-32-544 *S-1-5-32-545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configuration profiles, set the following Settings Catalog path to *S-1-5-32-544 *S-1-5-32-545 (Administrators, Users).
User Rights\Allow Local Log On
Note: Include only one User or Group per line in the Settings Catalog configuration screen.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'Users'
Actual Value:
'users' &amp;&amp; 'administrators'</t>
  </si>
  <si>
    <t>"76.1.2 (L1) Ensure 'Notify Password Reuse' is set to 'Enabled': [PASSED]"
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
Solution:
To establish the recommended configuration via configuration profiles, set the following Settings Catalog path to Enabled :
Smart Screen\Enhanced Phishing Protection\Notify Password Reuse
Impact:
Password reuse may be detected as a false positive by Microsoft.
See Also:
https://workbench.cisecurity.org/benchmarks/21719
Reference:
800-53|SI-16, 800-53r5|SI-16, CSCv7|8.3, CSCv8|10.5, CSF2.0|PR.DS-10, GDPR|32.1.b, HIPAA|164.306(a)(1), ITSG-33|SI-16, LEVEL|1A
Policy Value:
1
Actual Value:
1</t>
  </si>
  <si>
    <t>"97.3 (L1) Ensure 'Minimum PIN Length' is set to '6 more character(s)': [PASSED]"
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The recommended state for this setting is: 6 more character(s)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6 (or more character(s)):
Windows Hello For Business\Minimum PIN Length
Impact:
PIN theft is possible through shoulder surfing or other means of reconnaissance. Although this threat applies to passwords as well it is reduced with passphrases which involve complexity and length.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'^([6-9]|[1-9][0-9])$'
Actual Value:
'6'</t>
  </si>
  <si>
    <t>"4.11.15.2.2 (L1) Ensure 'Specify the maximum log file size (KB)' is set to 'Enabled: 196,608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196,608 or greater
Administrative Templates\Windows Components\Event Log Service\Security\Specify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[196608..4294967295]
Actual Value:
2097152</t>
  </si>
  <si>
    <t>"105.5 (L1) Ensure 'Post-authentication actions' is set to 'Reset the password and logoff the managed account' or higher: [PASSED]"
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Actions to Reset the password and logoff the managed account (or higher).
Note: Both Reset the password and logoff the managed account and Reset the password and reboot are considered passing states.
Impact:
After the grace period expires, the Windows LAPS managed account password will be reset and logged off the system or the OS will be restarted.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3 || 5
Actual Value:
3</t>
  </si>
  <si>
    <t>"6.12 (L1) Ensure 'Audit Security Group Management' is set to include 'Success': [PASSED]"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</si>
  <si>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"49.10 (L1) Configure 'Interactive logon: Message title for users attempting to log on': [PASSED]"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configuration profiles, set the following Settings Catalog path to a value that is consistent with the security and operational requirements of your organization:
Local Policies Security Options\Interactive logon: Message title for users attempting to log on
Impact:
Users will have to acknowledge a dialog box with the configured title before they can log on to the computer.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800-171|3.1.9, 800-171r3|03.01.09, 800-53|AC-8, 800-53r5|AC-8, GDPR|32.1.b, HIPAA|164.306(a)(1), ISO-27001-2022|A.8.5, ITSG-33|AC-8, LEVEL|1A, NESA|M1.3.6, TBA-FIISB|45.2.4
Policy Value:
'Login'
Actual Value:
'Login'</t>
  </si>
  <si>
    <t>"89.31 (L1) Ensure 'Remote Shutdown' is set to 'Administrators':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*S-1-5-32-544 (Administrators).
Any user who can shut down a computer could cause a DoS condition to occur. Therefore, this user right should be tightly restricted.
Solution:
To establish the recommended configuration via configuration profiles, set the following Settings Catalog path to *S-1-5-32-544 (Administrators).
User Rights\Remote Shutdown
Note: Include only one User or Group per line in the Settings Catalog configuration screen.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</si>
  <si>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"55.1 (L1) Ensure 'Allow apps from the Microsoft app store to auto update' is set to 'Allowed': [PASSED]"
This setting enables or disables the automatic download and installation of Microsoft Store app updates.
The recommended state for this setting is: Allowed
Keeping your system properly patched can help protect against 0 day vulnerabilities.
Solution:
To establish the recommended configuration via configuration profiles, set the following Settings Catalog path to Allowed :
Microsoft App Store\Allow apps from the Microsoft app store to auto update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CSCv7|9.2,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</si>
  <si>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"38.16 (L1) Ensure 'Enable Public Network Firewall: Allow Local Ipsec Policy Merge' is set to 'False': [PASSED]"
This setting controls whether local administrators are allowed to create connection security rules that apply together with connection security rules configured by Group Policy.
The recommended state for this setting is: False
Users with administrative privileges might create firewall rules that expose the system to remote attack.
Solution:
To establish the recommended configuration via configuration profiles, set the following Settings Catalog path to False :
Firewall\Enable Public Network Firewall: Allow Local Ipsec Policy Merge
Impact:
Administrators can still create local connection security rules, but the rules will not be applied.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</si>
  <si>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"4.11.15.1.1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Service\Application\Control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</si>
  <si>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"1.1 (L1) Ensure 'Allow Cortana Above Lock' is set to 'Block': [PASSED]"
This policy setting determines whether or not the user can interact with Cortana using speech while the system is locked.
The recommended state for this setting is: Block
Access to any computer resource should not be allowed when the device is locked.
Solution:
To establish the recommended configuration via configuration profiles, set the following Settings Catalog path to Block
Above Lock\Allow Cortana Above Lock
Impact:
The system will need to be unlocked for the user to interact with Cortana using speech.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0
Actual Value:
0</t>
  </si>
  <si>
    <t>"22.18 (L1) Ensure 'ASR: Block persistence through WMI event subscription' is set to 'Block': [PASSED]"
This rule prevents malware from abusing WMI to attain persistence on a device.
Note: If CcmExec.exe (SCCM Agent) is detected on the device, the ASR rule is classified as 'not applicable' in Defender for Endpoint settings in the Microsoft Defender portal.
The recommended state for this setting is: Block
Fileless threats employ various tactics to stay hidden, to avoid being seen in the file system, and to gain periodic execution control. Some threats can abuse the WMI repository and event model to stay hidden.
Solution:
To establish the recommended configuration via configuration profiles, set the following Settings Catalog path to Block
Defender\Block persistence through WMI event subscription
Impact:
When a rule is triggered, a notification will be displayed from the Action Center.
See Also:
https://workbench.cisecurity.org/benchmarks/21719
Reference:
800-53|SI-16, 800-53r5|SI-16, CSCv7|8.3, CSCv8|10.5, CSF2.0|PR.DS-10, GDPR|32.1.b, HIPAA|164.306(a)(1), ITSG-33|SI-16, LEVEL|1A
Policy Value:
'\b(?i)e6db77e5-3df2-4cf1-b95a-636979351e5b=1\b'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</si>
  <si>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"81.33 (L1) Ensure 'Windows Mobile Hotspot Service (icssvc)' is set to 'Disabled': [PASSED]"
Provides the ability to share a cellular data connection with another device.
The recommended state for this setting is: Disabled
The capability to run a mobile hotspot from a domain-connected computer could easily expose the internal network to wardrivers or other hackers.
Solution:
To establish the recommended configuration, set the following Custom Configuration Policy to 4 or confirm that the service is Not installed :
Name:  &lt;Enter name&gt;
Description: &lt;Enter Description&gt;
OMA-URI: ./Device/Vendor/MSFT/Policy/Config/SystemServices/ConfigureWindowsMobileHotspotServiceStartupMode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icssvc -StartupType Disabled
Impact:
The Windows Mobile Hotspot feature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</si>
  <si>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"6.19 (L1) Ensure 'Object Access Audit Other Object Access Events' is set to 'Success and Failure': [PASSED]"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configuration profiles, set the following Settings Catalog path to Success and Failure
Auditing\Object Access 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</si>
  <si>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"49.22 (L1) Ensure 'Network Security: Allow PKU2U authentication requests' is set to 'Block': [PASSED]"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Block
The PKU2U protocol is a peer-to-peer authentication protocol - authentication should be managed centrally in most managed networks.
Solution:
To establish the recommended configuration via configuration profiles, set the following Settings Catalog path to Block :
Local Policies Security Options\Network Security: Allow PKU2U authentication requests to this computer
Impact:
Remote Desktop connections from a Microsoft Entra hybrid joined server to a Microsoft Entra joined Windows 10 device or a Microsoft Entra hybrid joined Windows 10 device will fail if PKU2U is disabled.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CSCv7|9.2,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</si>
  <si>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"4.7.6 (L1) Ensure 'Configure RPC listener settings: Protocols to allow for incoming RPC connections' is set to 'Enabled: RPC over TCP': [PASSED]"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RCP over TCP :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5
Actual Value:
5</t>
  </si>
  <si>
    <t>"89.18 (L1) Ensure 'Enable Delegation' is set to 'No One': [PASSED]"
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configuration profiles, set the following Settings Catalog path to (&lt;![CDATA[]]&gt;) which equals No One
User Rights\Enable Delegation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</si>
  <si>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"4.4.4 (L1) Ensure 'Enable Structured Exception Handling Overwrite Protection (SEHOP)' is set to 'Enabled': [PASSED]"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configuration profiles, set the following Settings Catalog path to Enabled
Administrative Templates\MS Security Guide\Enable Structured Exception Handling Overwrite Protection (SEHOP)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https://workbench.cisecurity.org/benchmarks/21719
Reference:
800-53|SI-16, 800-53r5|SI-16, CSCv7|8.3, CSCv8|10.5, CSF2.0|PR.DS-10, GDPR|32.1.b, HIPAA|164.306(a)(1), ITSG-33|SI-16, LEVEL|1A
Policy Value:
0
Actual Value:
0</t>
  </si>
  <si>
    <t>"38.23 (L1) Ensure 'Enable Public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Public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</si>
  <si>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"4.11.28.3.1 (L1)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configuration profiles, set the following Settings Catalog path to Disabled
Administrative Templates\Windows Components\Microsoft Defender Antivirus\MAPS\Configure local setting override for reporting to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</si>
  <si>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"4.11.8.3 (L1) Ensure 'Prevent the use of security questions for local accounts' is set to 'Enabled': [PASSED]"
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
Solution:
To establish the recommended configuration via configuration profiles, set the following Settings Catalog path to Enabled
Administrative Templates\Windows Components\Credential User Interface\Prevent the use of security questions for local accounts
Impact:
Local user accounts will not be able to set up and use security questions to reset their passwords.
See Also:
https://workbench.cisecurity.org/benchmarks/21719
Reference:
800-171|3.4.2, 800-171r3|03.04.02a., 800-53|CM-6b., 800-53r5|CM-6b., CN-L3|8.1.10.6(d), CSF|PR.IP-1, CSF2.0|DE.CM-09, CSF2.0|PR.PS-01, GDPR|32.1.b, HIPAA|164.306(a)(1), ISO-27001-2022|A.8.9, ITSG-33|CM-6b., LEVEL|1A, NESA|T3.2.1, SWIFT-CSCv1|2.3
Policy Value:
1
Actual Value:
1</t>
  </si>
  <si>
    <t>"4.11.15.2.1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Service\Security\Control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</si>
  <si>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"6.7 (L1) Ensure 'Audit Authentication Policy Change' is set to include 'Success': [PASSED]"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</si>
  <si>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"22.32 (L1) Ensure 'Remote Encryption Protection Configured State' is set to 'Audit: Generate EDR detections without blocking' or higher: [PASSED]"
This policy setting configures the Brute-Force Protection feature in Microsoft Defender Antivirus. Brute-Force Protection can detect and block attempts to forcibly initiate sign-ins and sessions.
The recommended state for this setting is: Audit: Generate EDR detections without blocking Configuring this setting to Block: Prevent suspicious and malicious behaviors also conforms to the benchmark.
Note: Configuring the value to either Default or Off does not conform to this benchmark.
This feature assists with mitigating brute force attempts by detecting and blocking unauthorized sign-ins and sessions.
Solution:
To establish the recommended configuration via configuration profiles, set the following Settings Catalog path to Audit: Generate EDR detections without blocking or Block: Prevent suspicious and malicious behaviors
Defender\Remote Encryption Protection Configured State
Impact:
Legitimate sign-ins and sessions could be detected or blocked by this feature if too many failed attempts are detected.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 2
Actual Value:
1</t>
  </si>
  <si>
    <t>"4.10.29.5.1 (L1) Ensure 'Require a password when a computer wakes (on battery)'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(on battery)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</si>
  <si>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"4.11.27.1 (L1) Ensure 'Block all consumer Microsoft account user authentication' is set to 'Enabled': [PASSED]"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configuration profiles, set the following Settings Catalog path to Enabled
Administrative Templates\Windows Components\Microsoft accounts\Block all consumer Microsoft account user authentication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https://workbench.cisecurity.org/benchmarks/21719
Reference:
800-171|3.1.1, 800-171r3|03.01.01, 800-53|AC-2(1), 800-53r5|AC-2(1), CN-L3|7.1.3.2(d), CSCv7|16.8,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</si>
  <si>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"6.25 (L1) Ensure 'System Audit Other System Events' is set to 'Success and Failure': [PASSED]"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configuration profiles, set the following Settings Catalog path to Success and Failure
Auditing\System 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</si>
  <si>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"49.17 (L1) Ensure 'Network access: Do not allow anonymous enumeration of SAM accounts' is set to 'Enabled': [PASSED]"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</si>
  <si>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"49.18 (L1) Ensure 'Network access: Do not allow anonymous enumeration of SAM accounts and shares' is set to 'Enabled': [PASSED]"
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</si>
  <si>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"4.10.44.1.2 (L1) Ensure 'Enable Windows NTP Server' is set to 'Disabled': [PASSED]"
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
Solution:
To establish the recommended configuration via configuration profiles, set the following Settings Catalog path to Disabled
Administrative Templates\System\Windows Time Service\Time Providers\Enable Windows NTP Server
Impact:
None - this is the default behavior.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0
Actual Value:
0</t>
  </si>
  <si>
    <t>"22.23 (L1) Ensure 'Days Until Aggressive Catchup Quick Scan' is set to '7 days' or fewer: [PASSED]"
This policy setting configures the number of days after the last scan (of any type) before an aggressive Quick Scan is automatically triggered.
The recommended state for this setting is: 7 days or fewer.
Antivirus scans should be performed on a regular basis so that malicious software can be detected and remediated before malicious activity occurs.
Solution:
To establish the recommended configuration via configuration profiles, set the following Settings Catalog path to 7 days or fewer.
Defender\Days Until Aggressive Catchup Quick Scan
Impact:
This setting should have no adverse effect on the system.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[1..7]
Actual Value:
7</t>
  </si>
  <si>
    <t>"6.10 (L1) Ensure 'Audit File Share Access' is set to 'Success and Failure': [PASSED]"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Solution:
To establish the recommended configuration via configuration profiles, set the following Settings Catalog path to Success and Failure
Auditing\Audit File Share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</si>
  <si>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"4.5.2 (L1) Ensure 'MSS: (DisableIPSourceRouting IPv6) IP source routing protection level (protects against packet spoofing)' is set to 'Enabled: Highest protection, source routing is completely disabled': [PASSED]"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IPv6)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</si>
  <si>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"81.26 (L1) Ensure 'Special Administration Console Helper (sacsvr)' is set to 'Disabled' or 'Not Installed': [PASSED]"
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
Solution:
To establish the recommended configuration, set the following Custom Configuration Policy to 4 or confirm that the service is Not installed :
Name:  &lt;Enter name&gt;
Description: &lt;Enter Description&gt;
OMA-URI:
       ./Device/Vendor/MSFT/Policy/Config/SystemServices/ConfigureSpecialAdministrationConsoleHelperServiceStartupMode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sacsvr -StartupType Disabled
Impact:
Users will not have access to a remote command prompt using Emergency Management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</si>
  <si>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"97.4 (L1) Ensure 'Require Security Device' is set to 'true': [PASSED]"
This policy controls whether a Trusted Platform Module (TPM) is required to provision Windows Hello for Business.
 - If you enable this policy setting, only devices with a usable TPM provision Windows Hello for Business.
 - If you disable or don't configure this policy setting, the TPM is still preferred, but all devices provision Windows Hello for Business using software if the TPM is non-functional or unavailable.
The recommended state for this setting is: true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true :
Windows Hello For Business\Require Security Device
Impact:
If the TPM chip unexpectedly fails the user would be unable to authenticate using their PIN but would still be able to sign-in with their EntraID account password.
See Also:
https://workbench.cisecurity.org/benchmarks/21719
Reference:
800-171|3.5.1, 800-171r3|03.05.01a., 800-53|IA-2, 800-53r5|IA-2, CN-L3|7.1.3.1(a), CN-L3|7.1.3.1(e), CN-L3|8.1.4.1(a), CN-L3|8.1.4.2(a), CN-L3|8.5.4.1(a), CSF|PR.AC-1, CSF2.0|PR.AA-01, CSF2.0|PR.AA-03, GDPR|32.1.b, HIPAA|164.306(a)(1), HIPAA|164.312(a)(2)(i), HIPAA|164.312(d), ISO-27001-2022|A.5.16, ITSG-33|IA-2, ITSG-33|IA-2a., LEVEL|1A, NESA|T2.3.8, NESA|T5.3.1, NESA|T5.4.2, NESA|T5.5.1, NESA|T5.5.2, NESA|T5.5.3, NIAv2|AM2, NIAv2|AM8, NIAv2|AM14b, QCSC-v1|5.2.2, QCSC-v1|13.2, TBA-FIISB|35.1, TBA-FIISB|36.1
Policy Value:
'1'
Actual Value:
'1'</t>
  </si>
  <si>
    <t>"49.27 (L1) Ensure 'Network security: Restrict NTLM: Audit Incoming NTLM Traffic' is set to 'Enable auditing for all accounts': [PASSED]"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configuration profiles, set the following Settings Catalog path to Enable auditing for all accounts :
Local Policies Security Options\Network security: Restrict NTLM: Audit Incoming NTLM Traffic
Impact:
The event log will contain information on incoming NTLM authentication traffic.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2
Actual Value:
2</t>
  </si>
  <si>
    <t>"55.2 (L1) Ensure 'Allow Game DVR' is set to 'Block': [PASSED]"
This setting enables or disables the Windows Game Recording and Broadcasting features.
The recommended state for this setting is: Block
If this setting is allowed, users could record and broadcast session info to external sites, which is both a risk of accidentally exposing sensitive company data (on-screen) outside the company as well as a privacy concern.
Solution:
To establish the recommended configuration via configuration profiles, set the following Settings Catalog path to Block :
Microsoft App Store\Allow Game DVR
Impact:
Windows Game Recording will not be allowed.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</si>
  <si>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"4.11.6.2 (L1) Ensure 'Set the default behavior for AutoRun' is set to 'Enabled: Do not execute any autorun commands': [PASSED]"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configuration profiles, set the following Settings Catalog path to Enabled: Do not execute any autorun commands
Administrative Templates\Windows Components\AutoPlay Policies\Set the default behavior for AutoRun
Impact:
AutoRun commands will be completely disabled.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</si>
  <si>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"49.32 (L1) Ensure 'User Account Control: Use Admin Approval Mode' is set to 'Enabled': [PASSED]"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configuration profiles, set the following Settings Catalog path to Enabled :
Local Policies Security Options\User Account Control: Use Admin Approval Mode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https://workbench.cisecurity.org/benchmarks/21719
Reference:
800-171|3.5.2, 800-171r3|03.05.07, 800-53|IA-5(1), 800-53r5|IA-5(1), CSCv7|4.4, CSF|PR.AC-1, CSF2.0|PR.AA-01, CSF2.0|PR.AA-03, GDPR|32.1.b, HIPAA|164.306(a)(1), HIPAA|164.312(a)(2)(i), HIPAA|164.312(d), ISO-27001-2022|A.5.16, ISO-27001-2022|A.5.17, ITSG-33|IA-5(1), LEVEL|1A, NESA|T5.2.3, QCSC-v1|5.2.2, QCSC-v1|13.2, SWIFT-CSCv1|4.1
Policy Value:
1
Actual Value:
1</t>
  </si>
  <si>
    <t>"6.6 (L1) Ensure 'Account Management Audit Application Group Management' is set to 'Success and Failure': [PASSED]"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configuration profiles, set the following Settings Catalog path to Success and Failure
Auditing\Account Management 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</si>
  <si>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"4.10.26.6 (L1) Ensure 'Turn off picture password sign-in' is set to 'Enabled': [PASSED]"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configuration profiles, set the following Settings Catalog path to Enabled
Administrative Templates\System\Logon\Turn off picture password sign-in
Impact:
Users will not be able to set up or sign in with a picture password.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</si>
  <si>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"72.2 (L1) Ensure 'Allow Indexing Encrypted Stores Or Items' is set to 'Block': [FAILED]"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Block
Indexing and allowing users to search encrypted files could potentially reveal confidential data stored within the encrypted files.
Solution:
To establish the recommended configuration via configuration profiles, set the following Settings Catalog path to Block :
Search\Allow Indexing Encrypted Stores Or Items
Impact:
None - this is the default behavior.
See Also:
https://workbench.cisecurity.org/benchmarks/21719
Reference:
800-171|3.4.2, 800-171|3.4.6, 800-171|3.4.7, 800-171r3|03.04.02, 800-171r3|03.04.06, 800-53|CM-6, 800-53|CM-7, 800-53r5|CM-6, 800-53r5|CM-7, CSCv7|14.8, CSCv8|4.8, CSF|PR.IP-1, CSF|PR.PT-3, CSF2.0|DE.CM-09, CSF2.0|PR.PS-01, GDPR|32.1.b, HIPAA|164.306(a)(1), ISO-27001-2022|A.8.9, ITSG-33|CM-6, ITSG-33|CM-7, LEVEL|1A, NIAv2|SS15a, PCI-DSSv3.2.1|2.2.2, SWIFT-CSCv1|2.3
Policy Value:
0
Actual Value:
1</t>
  </si>
  <si>
    <t>"89.13 (L1) Ensure 'Deny Access From Network' to include 'Guests, Local account': [PASSED]"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Computer From Network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configuration profiles, set the following Settings Catalog path to *S-1-5-32-546 and *S-1-5-113 (Guests, Local account).
User Rights\Deny Access From Network
Note: Include only one User or Group per line in the Settings Catalog configuration screen.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</si>
  <si>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"6.1 (L1) Ensure 'Account Logon Audit Credential Validation' is set to 'Success and Failure':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</si>
  <si>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"6.20 (L1) Ensure 'Object Access Audit Removable Storage' is set to 'Success and Failure': [PASSED]"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configuration profiles, set the following Settings Catalog path to Success and Failure
Auditing\Object Access 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</si>
  <si>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"89.12 (L1) Ensure 'Debug Programs' is set to 'Administrators': [PASSED]"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*S-1-5-32-544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configuration profiles, set the following Settings Catalog path to *S-1-5-32-544 (Administrators).
User Rights\Debug Programs
Note: Include only one User or Group per line in the Settings Catalog configuration screen.
Impact:
If you revoke this user right, no one will be able to debug programs. However, typical circumstances rarely require this capability on production computers.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CSCv7|18.2,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</si>
  <si>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"22.21 (L1) Ensure 'ASR: Block Win32 API calls from Office macros' is set to 'Block': [FAILED]"
This rule prevents VBA macros from calling Win32 APIs. Office VBA enables Win32 API calls.
The recommended state for this setting is: Block
Malware can abuse VBA macro calls with various methods, such as calling Win32 APIs to launch malicious shellcode without writing anything directly to disk. Most organizations don't rely on the ability to call Win32 APIs in their day-to-day functioning, even if they use macros in other ways.
Solution:
To establish the recommended configuration via configuration profiles, set the following Settings Catalog path to Block
Defender\Block Win32 API calls from Office macros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'\b(?i)92e97fa1-2edf-4476-bdd6-9dd0b4dddc7b=1\b'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</si>
  <si>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"4.5.5 (L1) Ensure 'MSS: (EnableICMPRedirect) Allow ICMP redirects to override OSPF generated routes' is set to 'Disabled': [PASSED]"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configuration profiles, set the following Settings Catalog path to Disabled
Administrative Templates\MSS (Legacy)\MSS: (EnableICMPRedirect) Allow ICMP redirects to override OSPF generated routes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</si>
  <si>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"4.11.15.3.2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Service\Setup\Specify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</si>
  <si>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"4.11.36.3.2 (L1) Ensure 'Do not allow passwords to be saved' is set to 'Enabled': [PASSED]"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configuration profiles, set the following Settings Catalog path to Enabled
Administrative Templates\Windows Components\Remote Desktop Services\Remote Desktop Connection Client\Do not allow passwords to be saved
Impact:
The password saving checkbox will be disabled for Remote Desktop clients and users will not be able to save passwords.
See Also:
https://workbench.cisecurity.org/benchmarks/21719
Reference:
800-171|3.5.2, 800-171r3|03.05.12, 800-53|IA-5(13), 800-53r5|IA-5(13), CSF|PR.AC-1, CSF2.0|PR.AA-01, CSF2.0|PR.AA-03, GDPR|32.1.b, HIPAA|164.306(a)(1), HIPAA|164.312(a)(2)(i), HIPAA|164.312(d), ISO-27001-2022|A.5.16, ISO-27001-2022|A.5.17, ITSG-33|IA-5, LEVEL|1A, NESA|T5.2.3, QCSC-v1|5.2.2, QCSC-v1|13.2
Policy Value:
1
Actual Value:
1</t>
  </si>
  <si>
    <t>"81.39 (L1) Ensure 'Xbox Accessory Management Service (XboxGipSvc)' is set to 'Disabled': [PASSED]"
This service manages connected Xbox Accessories.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Accessory Management Service
Impact:
Connected Xbox accessories may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</si>
  <si>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"4.9.1.1 (L1) Ensure 'Turn off toast notifications on the lock screen (User)' is set to 'Enabled': [PASSED]"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configuration profiles, set the following Settings Catalog path to Enabled
Administrative Templates\Start Menu and Taskbar\Notifications\Turn off toast notifications on the lock screen (User)
Impact:
Applications will not be able to raise toast notifications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Compliant items:</t>
  </si>
  <si>
    <t>"93.1 (L1) Ensure 'Allow Auto Connect To Wi Fi Sense Hotspots' is set to 'Block': [PASSED]"
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Block
Note: These features are also known by the name '
Wi-Fi Sense
'.
Automatically connecting to an open hotspot or network can introduce the system to a rogue network with malicious intent.
Solution:
To establish the recommended configuration via configuration profiles, set the following Settings Catalog path to Block
Wi-Fi Settings\Allow Auto Connect To Wi Fi Sense Hotspots
Impact:
Connect to suggested open hotspots
,
Connect to networks shared by my contacts
, and
Enable paid services
will each be turned off and users on the device will be prevented from enabling them.
See Also:
https://workbench.cisecurity.org/benchmarks/21719
Reference:
800-171|3.4.2, 800-171|3.4.6, 800-171|3.4.7, 800-171r3|03.04.02, 800-171r3|03.04.06, 800-53|CM-6, 800-53|CM-7, 800-53r5|CM-6, 800-53r5|CM-7, CSCv7|15.5, CSCv8|4.8, CSF|PR.IP-1, CSF|PR.PT-3, CSF2.0|DE.CM-09, CSF2.0|PR.PS-01, GDPR|32.1.b, HIPAA|164.306(a)(1), ISO-27001-2022|A.8.9, ITSG-33|CM-6, ITSG-33|CM-7, LEVEL|1A, NIAv2|SS15a, PCI-DSSv3.2.1|2.2.2, SWIFT-CSCv1|2.3
Policy Value:
0
Actual Value:
0</t>
  </si>
  <si>
    <t>"49.7 (L1) Ensure 'Interactive logon: Do not require CTRL+ALT+DEL' is set to 'Disabled': [FAILED]"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configuration profiles, set the following Settings Catalog path to Disabled :
Local Policies 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https://workbench.cisecurity.org/benchmarks/21719
Reference:
800-171|3.4.2, 800-171r3|03.04.02a., 800-53|CM-6b., 800-53r5|CM-6b., CN-L3|8.1.10.6(d), CSF|PR.IP-1, CSF2.0|DE.CM-09, CSF2.0|PR.PS-01, GDPR|32.1.b, HIPAA|164.306(a)(1), ISO-27001-2022|A.8.9, ITSG-33|CM-6b., LEVEL|1A, NESA|T3.2.1, SWIFT-CSCv1|2.3
Policy Value:
0
Actual Value:
1</t>
  </si>
  <si>
    <t>"4.11.31.1 (L1) Ensure 'Prevent users from sharing files within their profile. (User)' is set to 'Enabled': [PASSED]"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configuration profiles, set the following Settings Catalog path to Enabled
Administrative Templates\Windows Components\Network Sharing\Prevent users from sharing files within their profile. (User)
Impact:
Users cannot share files within their profile using the sharing wizard. Also, the sharing wizard cannot create a share at %root%\Users and can only be used to create SMB shares on folders.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LEVEL|1A, NESA|T4.2.1, NESA|T5.4.4, NESA|T5.4.5, NESA|T5.5.4, NESA|T5.6.1, NESA|T7.5.2, NESA|T7.5.3, NIAv2|AM3, NIAv2|SS29, QCSC-v1|3.2, QCSC-v1|5.2.2, QCSC-v1|13.2, TBA-FIISB|31.1
Policy Value:
1
Actual Value:
Compliant items:</t>
  </si>
  <si>
    <t>"4.5.13 (L1) Ensure 'MSS: (WarningLevel) Percentage threshold for the security event log at which the system will generate a warning' is set to 'Enabled: 90% or less': [PASSED]"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configuration profiles, set the following Settings Catalog path to Enabled: 90% or less
Administrative Templates\MSS (Legacy)\MSS: (WarningLevel) Percentage threshold for the security event log at which the system will generate a warning
Impact:
An audit event will be generated when the Security log reaches the 90% percent full threshold (or whatever lower value may be set) unless the log is configured to overwrite events as needed.
See Also:
https://workbench.cisecurity.org/benchmarks/21719
Reference:
800-53|AU-4, 800-53r5|AU-4, CSCv7|6.3, CSCv7|6.4, CSCv8|8.3, CSF|PR.DS-4, CSF|PR.PT-1, GDPR|32.1.b, HIPAA|164.306(a)(1), HIPAA|164.312(b), ISO-27001-2022|A.8.6, ITSG-33|AU-4, LEVEL|1A, NESA|T3.3.1, NESA|T3.6.2, QCSC-v1|8.2.1, QCSC-v1|13.2
Policy Value:
[1..90]
Actual Value:
90</t>
  </si>
  <si>
    <t>"89.32 (L1) Ensure 'Replace Process Level Token' is set to 'LOCAL SERVICE, NETWORK SERVICE': [PASSED]"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*S-1-5-19 *S-1-5-20 (LOCAL SERVICE, NETWORK SERVICE).
Note: This user right is considered a 'sensitive privilege' for the purposes of auditing.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configuration profiles, set the following Settings Catalog path to *S-1-5-19 *S-1-5-20 (LOCAL SERVICE, NETWORK SERVICE).
User Rights\Replace Process Level Token
Impact:
On most computers, this is the default configuration and there will be no negative impact. However, if you have installed
Web Server (IIS)
, you will need to allow the IIS application pool(s) to be granted this User Right Assignment.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</si>
  <si>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"89.23 (L1) Ensure 'Lock Memory' is set to 'No One':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
Solution:
To establish the recommended configuration via configuration profiles, set the following Settings Catalog path to (&lt;![CDATA[]]&gt;) which equals No One
User Rights\Lock Memory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</si>
  <si>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"4.6.9.3 (L1) Ensure 'Require domain users to elevate when setting a network's location' is set to 'Enabled': [PASSED]"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configuration profiles, set the following Settings Catalog path to Enabled
Administrative Templates\Network\Network Connections\Require domain users to elevate when setting a network's location
Impact:
Domain users must elevate when setting a network's location.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1
Actual Value:
1</t>
  </si>
  <si>
    <t>"22.8 (L1) Ensure 'ASR: Block Adobe Reader from creating child processes' is set to 'Block': [PASSED]"
This rule prevents attacks by blocking Adobe Reader from creating processes.
Malware can download and launch payloads and break out of Adobe Reader through social engineering or exploits. By blocking child processes from being generated by Adobe Reader, malware attempting to use Adobe Reader as an attack vector are prevented from spreading.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Adobe Reader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'\b(?i)7674ba52-37eb-4a4f-a9a1-f0f9a1619a2c=1\b'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</si>
  <si>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"49.34 (L1) Ensure 'User Account Control: Run all administrators in Admin Approval Mode' is set to 'Enabled':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configuration profiles, set the following Settings Catalog path to Enabled :
Local Policies 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</si>
  <si>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"49.19 (L1) Ensure 'Network access: Restrict anonymous access to Named Pipes and Shares' is set to 'Enabled':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configuration profiles, set the following Settings Catalog path to Enabled :
Local Policies 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</si>
  <si>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"4.10.44.1.1 (L1) Ensure 'Enable Windows NTP Client' is set to 'Enabled': [PASSED]"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configuration profiles, set the following Settings Catalog path to Enabled
Administrative Templates\System\Windows Time Service\Time Providers\Enable Windows NTP Client
Impact:
System time will be synced to the configured NTP server(s).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1
Actual Value:
1</t>
  </si>
  <si>
    <t>"105.1 (L1) Ensure 'Backup Directory' is set to 'Backup the password to Azure AD only': [PASSED]"
This policy setting configures which directory Windows LAPS will use to back up the local admin account password.
The recommended state for this setting is: Backup the password to Azure AD only
Note: Organizations that utilize third-party commercial software to manage unique &amp; complex local Administrator passwords on domain members may opt to disregard these LAPS recommendations.
 - Windows LAPS does not support standalone computers - they must be joined to an Active Directory domain or Entra ID (formerly Azure Active Directory).
 - Windows LAPS does not support simultaneous storage of the local admin password in both directory types.
 - If the setting is configured and the managed device is not joined to the configured directory type, the local administrator password will not be managed by Windows LAPS.
Important: An organization wishing to use Active Directory to backup the LAPS password may make an exception for this recommendation. To implement Active Directory backup see the latest on-premises CIS Benchmark for Windows 10/11. When backing up with Active Directory there are 2 additional security controls to be considered in the benchmark which are not available when using Azure AD for backup. These were excluded from the Intune benchmark as they cannot be selected unless Active Directory is selected as the backup location.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of the type Local admin password solution (Windows LAPS)
 - Set Backup Directory to Backup the password to Azure AD only
Impact:
The passwords managed by Windows LAPS will only be retrievable from the configured directory type.
See Also:
https://workbench.cisecurity.org/benchmarks/21719
Reference:
800-171|3.8.9, 800-171r3|03.08.09, 800-53|CP-9, 800-53r5|CP-9, CSF|PR.IP-4, CSF2.0|PR.DS-01, CSF2.0|PR.DS-10, CSF2.0|PR.DS-11, CSF2.0|RC.RP-03, GDPR|32.1.b, GDPR|32.1.c, HIPAA|164.306(a)(1), ISO-27001-2022|A.5.29, ISO-27001-2022|A.5.33, ISO-27001-2022|A.8.13, ISO/IEC-27001|A.12.3.1, ITSG-33|CP-9, LEVEL|1A, NESA|M5.2.3, NESA|T2.2.4
Policy Value:
1
Actual Value:
1</t>
  </si>
  <si>
    <t>"4.11.55.2.1 (L1) Ensure 'Allow Basic authentication' is set to 'Disabled': [PASSED]"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Service\Allow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</si>
  <si>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"22.14 (L1) Ensure 'ASR: Block JavaScript or VBScript from launching downloaded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JavaScript or VBScript from launching downloaded executable content
Impact:
When a rule is triggered, a notification will be displayed from the Action Center.
See Also:
https://workbench.cisecurity.org/benchmarks/21719
Reference:
800-53|SI-16, 800-53r5|SI-16, CSCv7|8.3, CSCv8|10.5, CSF2.0|PR.DS-10, GDPR|32.1.b, HIPAA|164.306(a)(1), ITSG-33|SI-16, LEVEL|1A
Policy Value:
'\b(?i)d3e037e1-3eb8-44c8-a917-57927947596d=1\b'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</si>
  <si>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"81.28 (L1) Ensure 'UPnP Device Host (upnphost)' is set to 'Disabled': [PASSED]"
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./Device/Vendor/MSFT/Policy/Config/SystemServices/ConfigureUPnPDeviceHostServiceStartupMode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upnphost -StartupType Disabled
Impact:
Any hosted UPnP devices will stop functioning and no additional hosted devices can be added.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</si>
  <si>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"89.3 (L1) Ensure 'Act As Part Of The Operating System' is set to 'No One':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configuration profiles, set the following Settings Catalog path to (&lt;![CDATA[]]&gt;) which equals No One
User Rights\Act As Part Of The Operating System
Note: Using (&lt;![CDATA[]]&gt;) to represent a blank value or No One is recommended by Microsoft. However, there is a known issue where an error occurs in Endpoint Manger (Intune) but does not affect the policy setting from being applied to the system properly.
Impact:
There should be little or no impact because the Act as part of the operating system user right is rarely needed by any accounts other than the Local System account, which implicitly has this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</si>
  <si>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"49.1 (L1) Ensure 'Accounts: Enable Guest account status' is set to 'Disabled': [PASSED]"
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
Solution:
To establish the recommended configuration via configuration profiles, set the following Settings Catalog path to Disabled :
Local Policies 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
See Also:
https://workbench.cisecurity.org/benchmarks/21719
Reference:
800-171|3.5.2, 800-171r3|03.05.12, 800-53|IA-5, 800-53r5|IA-5, CSCv7|16.8, CSCv8|4.7, CSF|PR.AC-1, CSF2.0|PR.AA-01, CSF2.0|PR.AA-03, GDPR|32.1.b, HIPAA|164.306(a)(1), HIPAA|164.312(a)(2)(i), HIPAA|164.312(d), ISO-27001-2022|A.5.16, ISO-27001-2022|A.5.17, ITSG-33|IA-5, LEVEL|1A, NESA|T5.2.3, QCSC-v1|5.2.2, QCSC-v1|13.2
Policy Value:
'disabled'
Actual Value:
'disabled'</t>
  </si>
  <si>
    <t>"4.11.18.3 (L1) Ensure 'Turn off heap termination on corruption' is set to 'Disabled': [PASSED]"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configuration profiles, set the following Settings Catalog path to Disabled
Administrative Templates\Windows Components\File Explorer\Turn off heap termination on corruption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</si>
  <si>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"49.4 (L1) Configure 'Accounts: Rename guest account': [PASSED]"
The built-in local guest account is another well-known name to attackers. It is recommended to rename this account to something that does not indicate its purpose. Even if you disable this account, which is recommended, ensure that you rename it for added security.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configuration profiles, set the following Settings Catalog path:
Local Policies Security Options\Accounts: Rename guest account
Impact:
There should be little impact, because the Guest account is disabled by default.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'Guest'
Actual Value:
'noguest'</t>
  </si>
  <si>
    <t>"46.1 (L1) Ensure 'Enable insecure guest logons' is set to 'Disabled': [PASSED]"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configuration profiles, set the following Settings Catalog path to Disabled:
Lanman Workstation\Enable insecure guest logons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Actual Value:
0</t>
  </si>
  <si>
    <t>"4.10.4.1 (L1) Ensure 'Include command line in process creation events' is set to 'Enabled': [PASSED]"
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configuration profiles, set the following Settings Catalog path to Enabled
Administrative Templates\System\Audit Process Creation\Include command line in process creation events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CSCv7|16.4, CSCv8|8.8, CSF|PR.PT-1, CSF2.0|PR.PS-04, GDPR|32.1.b, HIPAA|164.306(a)(1), HIPAA|164.312(b), ISO-27001-2022|A.8.15, ITSG-33|AU-2, LEVEL|1A, NESA|M1.2.2, NESA|M5.5.1, NIAv2|AM7, NIAv2|AM11a, NIAv2|AM11b, NIAv2|AM11c, NIAv2|AM11d, NIAv2|AM11e, NIAv2|SS30, NIAv2|VL8, QCSC-v1|8.2.1, QCSC-v1|13.2, SWIFT-CSCv1|6.4
Policy Value:
1
Actual Value:
1</t>
  </si>
  <si>
    <t>"38.3 (L1) Ensure 'Enable Domain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Domain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</si>
  <si>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"55.6 (L1) Ensure 'MSI Allow user control over installs' is set to 'Disabled': [PASSED]"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configuration profiles, set the following Settings Catalog path to Disabled :
Microsoft App Store\MSI Allow user control over installs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</si>
  <si>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"49.20 (L1) Ensure 'Network access: Restrict clients allowed to make remote calls to SAM' is set to 'Administrators: Remote Access: Allow': [PASSED]"
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Administrators: Remote Access: Allow :
Local Policies Security Options\Network access: Restrict clients allowed to make remote calls to SAM
Impact:
None - this is the default behavior.
See Also:
https://workbench.cisecurity.org/benchmarks/21719
Reference:
800-171|3.1.5, 800-171r3|03.01.05a., 800-53|AC-6(3), 800-53r5|AC-6(3), CN-L3|7.1.3.2(b), CN-L3|7.1.3.2(g), CN-L3|8.1.4.2(d), CN-L3|8.1.10.6(a), CSF|PR.AC-4, CSF2.0|PR.AA-05, GDPR|32.1.b, HIPAA|164.306(a)(1), HIPAA|164.312(a)(1), ISO-27001-2022|A.5.15, ISO-27001-2022|A.8.2, ISO-27001-2022|A.8.18, ISO/IEC-27001|A.9.1.2, ISO/IEC-27001|A.9.4.4, ITSG-33|AC-6(3), LEVEL|1A, NESA|T5.1.1, NESA|T5.5.4, NIAv2|AM1, NIAv2|AM23f, NIAv2|SS13c, NIAv2|SS15c, PCI-DSSv3.2.1|7.1.2, PCI-DSSv4.0|7.2.1, PCI-DSSv4.0|7.2.2, QCSC-v1|5.2.2, QCSC-v1|6.2, SWIFT-CSCv1|5.1, TBA-FIISB|31.4.2, TBA-FIISB|31.4.3
Policy Value:
'O:BAG:BAD:(A;;RC;;;BA)'
Actual Value:
'O:BAG:BAD:(A;;RC;;;BA)'</t>
  </si>
  <si>
    <t>"89.2 (L1) Ensure 'Access From Network' is set to 'Administrators, Remote Desktop Users': [PASSED]"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*S-1-5-32-544 and *S-1-5-32-555 (Administrators, Remote Desktop Users).
Note: If your organization is using Microsoft Defender for Identity (formerly Azure Advanced Threat Protection (Azure ATP)), the (organization-named) Defender for Identity Directory Service Account (DSA), will also need to be granted the same Access from network User Right Assignment. For more information on adding the service account please see
Make sure the DSA is allowed to access computers from the network in Microsoft Defender for Identity | Microsoft Docs
.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configuration profiles, set the following Settings Catalog path to *S-1-5-32-544 and *S-1-5-32-555 (Administrators, Remote Desktop Users).
User Rights\Access From Network
Note: Include only one User or Group per line in the Settings Catalog configuration screen.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CSCv7|9.2,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'Remote Desktop Users'
Actual Value:
'remote desktop users' &amp;&amp; 'administrators'</t>
  </si>
  <si>
    <t>"4.6.9.2 (L1)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configuration profiles, set the following Settings Catalog path to Enabled
Administrative Templates\Network\Network Connections\Prohibit use of Internet Connection Sharing on your DNS domain network
Impact:
Mobile Hotspot cannot be enabled or configured by Administrators and non-Administrators alike.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</si>
  <si>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"49.16 (L1) Ensure 'Microsoft network server: Digitally sign communications (if client agrees)' is set to 'Enabled': [PASSED]"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</si>
  <si>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"81.40 (L1) Ensure 'Xbox Live Auth Manager (XblAuthManager)' is set to 'Disabled': [PASSED]"
Provides authentication and authorization services for interacting with Xbox Live.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Auth Manager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</si>
  <si>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"49.30 (L1) Ensure 'User Account Control: Detect application installations and prompt for elevation' is set to 'Enabled':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configuration profiles, set the following Settings Catalog path to Enabled :
Local Policies 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</si>
  <si>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"101.1 (L1) Ensure 'Allow Clipboard Redirection' is set to 'Not allowed': [PASSED]"
This policy setting enables or disables clipboard sharing with the Windows Sandbox.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copy and paste decreases the attack surface exposed by the Windows Sandbox and possible exposure of untrusted applications to the internal network.
Solution:
To establish the recommended configuration via configuration profiles, set the following Settings Catalog path to Not allowed
Windows Sandbox\Allow Clipboard Redirection
Impact:
The copy and paste function to/from the Windows Sandbox will be disabled. Therefore, files will not be able to be moved to/from the Windows Sandbox via the clipboard.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</si>
  <si>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"22.10 (L1) Ensure 'ASR: Block credential stealing from the Windows local security authority subsystem' is set to 'Block': [PASSED]"
This rule helps prevent credential stealing by locking down Local Security Authority Subsystem Service (LSASS).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
Note: Enabling this rule doesn't provide additional protection if you have LSA protection enabled since the ASR rule and LSA protection work similarly. However, when LSA protection cannot be enabled, this rule can be configured to provide equivalent protection against malware that target lsass.exe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credential stealing from the Windows local security authority subsystem
Impact:
When a rule is triggered, a notification will be displayed from the Action Center.
See Also:
https://workbench.cisecurity.org/benchmarks/21719
Reference:
800-53|SI-16, 800-53r5|SI-16, CSCv7|8.3, CSCv8|10.5, CSF2.0|PR.DS-10, GDPR|32.1.b, HIPAA|164.306(a)(1), ITSG-33|SI-16, LEVEL|1A
Policy Value:
'\b(?i)9e6c4e1f-7d60-472f-ba1a-a39ef669e4b2=1\b'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</si>
  <si>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"49.6 (L1) Ensure 'Interactive logon: Do not display last signed-in' is set to 'Enabled': [FAILED]"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Warning: If the
Self Service Password Reset (SSPR)
feature is used in Microsoft Entra ID, an exception to this recommendation is needed as it's known to interfere with SSPR.
Warning #2: If the
Windows passwordless experience
feature is used, an exception to this recommendation is needed as it prevents this feature from working.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
Local Policies 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0</t>
  </si>
  <si>
    <t>"4.11.8.2 (L1) Ensure 'Enumerate administrator accounts on elevation' is set to 'Disabled': [PASSED]"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configuration profiles, set the following Settings Catalog path to Disabled
Administrative Templates\Windows Components\Credential User Interface\Enumerate administrator accounts on elevation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</si>
  <si>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"89.9 (L1) Ensure 'Create Permanent Shared Objects' is set to 'No One':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configuration profiles, set the following Settings Catalog path to (&lt;![CDATA[]]&gt;) which equals No One
User Rights\Create Permanent Shared Objects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</si>
  <si>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"38.13 (L1) Ensure 'Enable Private Network Firewall: Log File Path' is set to '%SystemRoot%\System32\logfiles\firewall\privatefw.log': [PASSED]"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%SystemRoot%\System32\logfiles\firewall\privatefw.log :
Firewall\Enable Private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'%SystemRoot%\System32\logfiles\firewall\privatefw.log'
Actual Value:
'%SystemRoot%\System32\logfiles\firewall\privatefw.log'</t>
  </si>
  <si>
    <t>"38.8 (L1) Ensure 'Enable Private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
Firewall\Enable Private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</si>
  <si>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"89.20 (L1) Ensure 'Impersonate Client' is set to 'Administrators, LOCAL SERVICE, NETWORK SERVICE, SERVICE': [PASSED]"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*S-1-5-32-544 *S-1-5-19 *S-1-5-20 and *S-1-5-6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configuration profiles, set the following Settings Catalog path to *S-1-5-32-544 *S-1-5-19 *S-1-5-20 and *S-1-5-6 (Administrators, LOCAL SERVICE, NETWORK SERVICE, SERVICE).
User Rights\Impersonate Client
Note: Include only one User or Group per line in the Settings Catalog configuration screen.
Impact:
In most cases this configuration will have no impact. If you have installed
Web Server (IIS)
, you will need to also assign the user right to IIS_IUSRS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</si>
  <si>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"89.22 (L1) Ensure 'Load Unload Device Drivers' is set to 'Administrators': [PASSED]"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*S-1-5-32-544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configuration profiles, set the following Settings Catalog path to *S-1-5-32-544 (Administrators).
User Rights\Load Unload Device Drivers
Note: Include only one User or Group per line in the Settings Catalog configuration screen.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</si>
  <si>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"81.32 (L1) Ensure 'Windows Media Player Network Sharing Service (WMPNetworkSvc)' is set to 'Disabled' or 'Not Installed': [PASSED]"
Shares Windows Media Player libraries to other networked players and media devices using Universal Plug and Play.
The recommended state for this setting is: Disabled or Not Installed
Network sharing of media from Media Player has no place in an enterprise managed environment.
Solution:
To establish the recommended configuration, set the following Custom Configuration Policy to 4 or confirm that the service is Not installed :
Name:  &lt;Enter name&gt;
Description: &lt;Enter Description&gt;
OMA-URI:
 ./Device/Vendor/MSFT/Policy/Config/SystemServices/ConfigureWindowsMediaPlayerNetworkSharingServiceStartupMode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WMPNetworkSvc -StartupType Disabled
Impact:
Windows Media Player libraries will not be shared over the network to other devices and systems.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</si>
  <si>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"22.29 (L1) Ensure 'PUA Protection' is set to 'PUA Protection on': [PASSED]"
This policy setting controls detection and action for Potentially Unwanted Applications (PUA), which are sneaky unwanted application bundlers or their bundled applications, that can deliver adware or malware.
The recommended state for this setting is: PUA Protection on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PUA Protection on :
Defender\PUA Protection
Impact:
Applications that are identified by Microsoft as PUA will be blocked at download and install time.
See Also:
https://workbench.cisecurity.org/benchmarks/21719
Reference:
800-171|3.14.2, 800-171|3.14.4, 800-171|3.14.5, 800-171r3|03.14.02, 800-53|SI-3, 800-53r5|SI-3, CN-L3|7.1.3.6(b), CN-L3|8.1.4.5, CN-L3|8.1.9.6(a), CN-L3|8.1.9.6(b), CN-L3|8.1.10.5(b), CN-L3|8.1.10.7(a), CN-L3|8.1.10.7(b), CSCv7|2.7,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</si>
  <si>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"80.3 (L1) Ensure 'Allow Telemetry' is set to 'Basic': [PASSED]"
This policy setting determines the amount of diagnostic and usage data reported to Microsoft:
The recommended state for this setting is: Basic or Security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configuration profiles, set the following Settings Catalog path to Basic or Security :
System\Allow Telemetry
Impact:
Note that setting values of 0 or 1 will degrade certain experiences on the device.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</si>
  <si>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"89.19 (L1) Ensure 'Generate Security Audits' is set to 'LOCAL SERVICE, NETWORK SERVICE': [PASSED]"
This policy setting determines which users or processes can generate audit records in the Security log.
The recommended state for this setting is: *S-1-5-19 and *S-1-5-20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configuration profiles, set the following Settings Catalog path to *S-1-5-19 and *S-1-5-20 (LOCAL SERVICE, NETWORK SERVICE).
User Rights\Generate security audits
Note: Include only one User or Group per line in the Settings Catalog configuration screen.
Impact:
On most computers, this is the default configuration and there will be no negative impact. However, if you have installed
Web Server (IIS)
, you will need to allow the IIS application pool(s) to be granted this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CSCv7|6.2,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</si>
  <si>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"4.11.42.1 (L1) Ensure 'Turn off the offer to update to the latest version of Windows' is set to 'Enabled': [PASSED]"
Enables or disables the Microsoft Store offer to update to the latest version of Windows.
The recommended state for this setting is: Enabled
Unplanned OS upgrades can lead to more preventable support calls. The IT department should be managing and approving all upgrades and updates.
Solution:
To establish the recommended configuration via configuration profiles, set the following Settings Catalog path to Enabled
Administrative Templates\Windows Components\Store\Turn off the offer to update to the latest version of Windows
Impact:
The Microsoft Store application will not offer updates to the latest version of Windows.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</si>
  <si>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"4.11.10.1 (L1) Ensure 'Enable App Installer Experimental Features' is set to 'Disabled': [PASSED]"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configuration profiles, set the following Settings Catalog path to Disabled :
Administrative Templates\Windows Components\Desktop App Installer\Enable App Installer Experimental Features
Impact:
Users will not have access to experimental features in the command line tool, winget to discover, install, upgrade, remove, configure, or distribute applications.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</si>
  <si>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"103.2 (L1) Ensure 'Defer Feature Updates Period in Days' is set to 'Enabled: 180 or more days': [PASSED]"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configuration profiles, set the following Settings Catalog path to Enabled: 180 or more days
Windows Update for Business\Defer Feature Updates Period in Days
Impact:
Feature Updates will be delayed until they are publicly released to general public by Microsoft.
See Also:
https://workbench.cisecurity.org/benchmarks/21719
Reference:
800-171|3.11.2, 800-171|3.11.3, 800-171|3.14.1, 800-171r3|03.11.02, 800-171r3|03.14.01, 800-53|RA-5, 800-53|SI-2, 800-53|SI-2(2), 800-53r5|RA-5, 800-53r5|RA-7, 800-53r5|SI-2, 800-53r5|SI-2(2), CN-L3|8.1.4.4(e), CN-L3|8.1.10.5(a), CN-L3|8.1.10.5(b), CN-L3|8.5.4.1(b), CN-L3|8.5.4.1(d), CN-L3|8.5.4.1(e), CSCv7|2.4,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[180..4294967295]
Actual Value:
180</t>
  </si>
  <si>
    <t>"49.31 (L1) Ensure 'User Account Control: Only elevate UIAccess applications that are installed in secure locations' is set to 'Enabled':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configuration profiles, set the following Settings Catalog path to Enabled :
Local Policies Security Options\User Account Control: Only elevate UIAccess applications that are installed in secure locations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</si>
  <si>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"81.24 (L1) Ensure 'Simple TCP/IP Services (simptcp)' is set to 'Disabled' or 'Not Installed': [PASSED]"
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
Solution:
To establish the recommended configuration, set the following Custom Configuration Policy to 4 or confirm that the service is Not installed :
Name:  &lt;Enter name&gt;
Description: &lt;Enter Description&gt;
OMA-URI: ./Device/Vendor/MSFT/Policy/Config/SystemServices/ConfigureSimpleTCPIPServicesStartupMode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simptcp -StartupType Disabled
Impact:
The Simple TCP/IP services (Character Generator, Daytime, Discard, Echo and Quote of the Day)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</si>
  <si>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"81.20 (L1) Ensure 'Remote Procedure Call (RPC) Locator (RpcLocator)' is set to 'Disabled': [PASSED]"
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
Solution:
To establish the recommended configuration, set the following Custom Configuration Policy to 4 :
Name:  &lt;Enter name&gt;
Description: &lt;Enter Description&gt;
OMA-URI: ./Device/Vendor/MSFT/Policy/Config/SystemServices/ConfigureRemoteProcedureCallLocatorServiceStartupMode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RpcLocator -StartupType Disabled
Impact:
No impact, unless an old, legacy application requires it.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</si>
  <si>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"4.6.18.2 (L1) Ensure 'Prohibit connection to non-domain networks when connected to domain authenticated network' is set to 'Enabled': [PASSED]"
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
Solution:
To establish the recommended configuration via configuration profiles, set the following Settings Catalog path to Enabled
Administrative Templates\Network\Windows Connection Manager\Prohibit connection to non-domain networks when connected to domain authenticated network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See Also:
https://workbench.cisecurity.org/benchmarks/21719
Reference:
800-171|3.13.1, 800-171|3.13.5, 800-171r3|03.13.01, 800-53|SC-7, 800-53r5|SC-7, CN-L3|8.1.10.6(j), CSCv7|12.4, CSF|DE.CM-1, CSF|PR.AC-5, CSF|PR.DS-5, CSF|PR.PT-4, CSF2.0|DE.CM-01, CSF2.0|PR.DS-01, CSF2.0|PR.DS-02, CSF2.0|PR.DS-10, CSF2.0|PR.IR-01, GDPR|32.1.b, HIPAA|164.306(a)(1), ISO-27001-2022|A.5.14, ISO-27001-2022|A.8.16, ISO-27001-2022|A.8.20, ISO/IEC-27001|A.13.1.3, ITSG-33|SC-7, LEVEL|1A, NESA|T4.5.4, NIAv2|GS1, NIAv2|GS2a, NIAv2|GS2b, PCI-DSSv3.2.1|1.1, PCI-DSSv3.2.1|1.2, PCI-DSSv3.2.1|1.2.1, PCI-DSSv3.2.1|1.3, PCI-DSSv4.0|1.2.1, PCI-DSSv4.0|1.4.1, QCSC-v1|5.2.1, QCSC-v1|5.2.2, QCSC-v1|6.2, QCSC-v1|8.2.1, TBA-FIISB|43.1
Policy Value:
1
Actual Value:
1</t>
  </si>
  <si>
    <t>"4.11.5.2 (L1) Ensure 'Notify antivirus programs when opening attachments (User)' is set to 'Enabled': [PASSED]"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configuration profiles, set the following Settings Catalog path to Enabled
Administrative Templates\Windows Components\Attachment Manager\Notify antivirus programs when opening attachments (User)
Impact:
Windows tells the registered antivirus program(s) to scan the file when a user opens a file attachment. If the antivirus program fails, the attachment is blocked from being opened.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3
Actual Value:
Compliant items:</t>
  </si>
  <si>
    <t>"34.4 (L1) Ensure 'Disable Consumer Account State Content' is set to 'Enabled': [PASSED]"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configuration profiles, set the following Settings Catalog path to Enabled :
Experience\Disable Consumer Account State Content
Impact:
Users will not be able to use Microsoft consumer accounts on the system, and associated Windows experiences will instead present default fallback content.
See Also:
https://workbench.cisecurity.org/benchmarks/21719
Reference:
800-171|3.1.1, 800-171r3|03.01.01, 800-53|AC-2(1), 800-53r5|AC-2(1), CN-L3|7.1.3.2(d),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</si>
  <si>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"6.17 (L1) Ensure 'Detailed Tracking Audit Process Creation' is set to include 'Success':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configuration profiles, set the following Settings Catalog path to Success
Auditing\Detailed Tracking 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</si>
  <si>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"49.13 (L1) Ensure 'Microsoft network client: Digitally sign communications (if server agrees)' is set to 'Enabled':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</si>
  <si>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"4.10.26.2 (L1) Ensure 'Do not display network selection UI' is set to 'Enabled': [PASSED]"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configuration profiles, set the following Settings Catalog path to Enabled
Administrative Templates\System\Logon\Do not display network selection UI
Impact:
The PC's network connectivity state cannot be changed without signing into Windows.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</si>
  <si>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"4.7.3 (L1) Ensure 'Configure RPC connection settings: Protocol to use for outgoing RPC connections' is set to 'Enabled: RPC over TCP': [PASSED]"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configuration profiles, set the following Settings Catalog path to Enabled: RPC over TCP :
Administrative Templates\Printers\Configure RPC connection settings: Protocol to use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</si>
  <si>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"80.6 (L1) Ensure 'Enable OneSettings Auditing' is set to 'Enabled': [PASSED]"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
System\Enable OneSettings Auditing
Impact:
Windows will record attempts to connect with the OneSettings service to the Applications and Services Logs\Microsoft\Windows\Privacy-Auditing\Operational Event Log channel.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1
Actual Value:
1</t>
  </si>
  <si>
    <t>"24.4 (L1) Ensure 'Require Platform Security Features' is set to 'Turns on VBS with Secure Boot' or higher: [PASSED]"
This policy setting specifies whether Virtualization Based Security (VBS) is enabled. VBS uses the Windows Hypervisor to provide support for security services.
The recommended state for this setting is: Turns on VBS with Secure Boot or Turns on VBS with Secure Boot and direct memory access (DMA). DMA requires hardware support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Secure Boot can help reduce the risk of bootloader attacks and in conjunction with DMA protections to help protect data from being scraped from memory.
Solution:
To establish the recommended configuration via configuration profiles, set the following Settings Catalog path to Turns on VBS with Secure Boot or Turns on VBS with Secure Boot and direct memory access (DMA). DMA requires hardware support :
Device Guard\Require Platform Security Features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3 || 1
Actual Value:
3</t>
  </si>
  <si>
    <t>"79.1 (L1) Ensure 'Enable Sudo' is set to 'Sudo is disabled': [PASSED]"
This policy setting configures the use of the sudo.exe command line tool. The sudo feature in Windows allows users to run elevated commands (as an administrator) directly from an unelevated console session.
The recommended state for this setting is: Sudo is disabled
Sudo for Windows could be exploited for escalation of privilege and spoofing attacks by a malicious actor. For example, in October 2024,
CVE-2024-43571
(spoofing vulnerability) was created by Microsoft.
Solution:
To establish the recommended configuration via configuration profiles, set the following Settings Catalog path to Sudo is disabled
Sudo\Enable Sudo
Impact:
The sudo.exe command line tool will not be available on the system.
See Also:
https://workbench.cisecurity.org/benchmarks/21719
Reference:
800-171|3.4.6, 800-171|3.4.7, 800-171r3|03.04.06b., 800-53|CM-7b., 800-53r5|CM-7b., CN-L3|7.1.3.5(c), CN-L3|7.1.3.7(d), CN-L3|8.1.4.4(b), CSF|PR.IP-1, CSF|PR.PT-3, CSF2.0|PR.PS-01, GDPR|32.1.b, HIPAA|164.306(a)(1), ITSG-33|CM-7a., LEVEL|1A, NIAv2|SS13b, NIAv2|SS14a, NIAv2|SS14c, PCI-DSSv3.2.1|2.2.2, PCI-DSSv4.0|2.2.4, QCSC-v1|3.2, SWIFT-CSCv1|2.3
Policy Value:
0
Actual Value:
0</t>
  </si>
  <si>
    <t>"4.11.36.4.9.2 (L1) Ensure 'Require secure RPC communication' is set to 'Enabled': [PASSED]"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configuration profiles, set the following Settings Catalog path to Enabled
Administrative Templates\Windows Components\Remote Desktop Services\Remote Desktop Session Host\Security\Require secure RPC communication
Impact:
Remote Desktop Services accepts requests from RPC clients that support secure requests, and does not allow unsecured communication with untrusted clients.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</si>
  <si>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"49.33 (L1) Ensure 'User Account Control: Switch to the secure desktop when prompting for elevation' is set to 'Enabled':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configuration profiles, set the following Settings Catalog path to Enabled :
Local Policies Security Options\User Account Control: Switch to the secure desktop when prompting for elevation
Impact:
None - this is the default behavior.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</si>
  <si>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"81.13 (L1) Ensure 'OpenSSH SSH Server (sshd)' is set to 'Disabled' or 'Not Installed': [PASSED]"
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sshd -StartupType Disabled
Impact:
The workstation will not be permitted to be a SSH host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</si>
  <si>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"38.12 (L1) Ensure 'Enable Private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Private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</si>
  <si>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"103.1 (L1) Ensure 'Allow Auto Update' is set to 'Enabled': [FAILED]"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this this policy setting is set to Enabled, select one of the following options in the Configure Automatic Updates Properties dialog box to specify how the service will work:
 - 2 - Auto install and restart.
 - 3 - Auto install and restart at a specified time. (Default)
 - 4 - Auto install and restart without end-user control.
The recommended state for this setting is: Enabled and never 'Turn off automatic updates'
Note: The sub-setting '
Allow Auto Update:
' has 6 possible values - not all of them are valid depending on specific organizational needs, however if feasible we suggest using a value of 2, 3, or 4 The only scored requirement is to not turn off automatic updates (5).
Note #2: Organizations that utilize a third--party solution for patching may choose to exempt themselves from this recommendation, and instead configure it to Disabled so that the native Windows Update mechanism does not interfere with the third--party patching process.
Warning: If option 3 or 4 is not selected, then the ScheduledInstallDay recommendation will not take effect and an exception to that recommendation will be needed.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anything other than 'Turn off automatic updates'.
Windows Update For Business\Allow Auto Update
Impact:
Critical operating system updates and service packs will be installed as necessary.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[2..4]
Actual Value:
5</t>
  </si>
  <si>
    <t>"4.4.2 (L1) Ensure 'Configure SMB v1 client driver' is set to 'Enabled: Disable driver (recommended)': [PASSED]"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Enabled: Disable driver (recommended)
Administrative Templates\MS Security Guide\Configure SMB v1 client driver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4
Actual Value:
4</t>
  </si>
  <si>
    <t>"96.1 (L1) Ensure 'Disallow Exploit Protection Override' is set to '(Enable)': [PASSED]"
This policy setting prevent users from making changes to the Exploit protection settings area in the Windows Security settings.
The recommended state for this setting is: (Enable)
Only authorized IT staff should be able to make changes to the exploit protection settings in order to ensure the organizations specific configuration is not modified.
Solution:
To establish the recommended configuration via configuration profiles, set the following Settings Catalog path to (Enable)
Windows Defender Security Center\Disallow Exploit Protection Override
Impact:
Local users cannot make changes in the Exploit protection settings area.
See Also:
https://workbench.cisecurity.org/benchmarks/21719
Reference:
800-53|SI-16, 800-53r5|SI-16, CSCv7|8.3, CSCv8|10.5, CSF2.0|PR.DS-10, GDPR|32.1.b, HIPAA|164.306(a)(1), ITSG-33|SI-16, LEVEL|1A
Policy Value:
1
Actual Value:
1</t>
  </si>
  <si>
    <t>"4.7.8 (L1) Ensure 'Limits print driver installation to Administrators' is set to 'Enabled': [PASSED]"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configuration profiles, set the following Settings Catalog path to Enabled
Administrative Templates\Printers\Limits print driver installation to Administrators
Impact:
None - this is the default behavior.
See Also:
https://workbench.cisecurity.org/benchmarks/21719
Reference:
800-171|3.14.6, 800-171|3.14.7, 800-171r3|03.14.06, 800-53|SI-4, 800-53r5|SI-4, CN-L3|7.1.3.5(a), CN-L3|8.1.10.5(b), CN-L3|8.1.10.6(f),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</si>
  <si>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"97.1 (L1) Ensure 'Enable ESS with Supported Peripherals' is set to 'Enhanced sign-in security will be enabled...': [PASSED]"
Enhanced Sign-in Security isolates Windows Hello biometric (face and fingerprint) template data and matching operations to trusted hardware or specified memory regions.
The recommended state for this setting is: ESS will be enabled on systems with capable software and hardware, following the existing default behavior in Windows. Authentication operations of any peripheral biometric device will be blocked and not available for Windows Hello. (default and recommended for highest security).
Because the channel of communication between the sensors and the algorithm is secured, it is impossible for malware to inject or replay data in order to simulate a user signing in or to lock a user out of their machine.
Solution:
To establish the recommended configuration via configuration profiles, set the following Settings Catalog path to Enhanced sign-in security will be enabled... :
Windows Hello For Business\Enable ESS with Supported Peripherals
Impact:
None - this is the default behavior.
See Also:
https://workbench.cisecurity.org/benchmarks/21719
Reference:
800-53|SI-16, 800-53r5|SI-16, CSCv7|8.3, CSCv8|10.5, CSF2.0|PR.DS-10, GDPR|32.1.b, HIPAA|164.306(a)(1), ITSG-33|SI-16, LEVEL|1A
Policy Value:
1
Actual Value:
1</t>
  </si>
  <si>
    <t>"4.11.15.1.2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Service\Application\Specify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</si>
  <si>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"4.10.13.1 (L1) Ensure 'Boot-Start Driver Initialization Policy' is set to 'Enabled: Good, unknown and bad but critical': [PASSED]"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configuration profiles, set the following Settings Catalog path to Enabled: `Good, unknown and bad but critical.
Administrative Templates\System\Early Launch Antimalware\Boot-Start Driver Initialization Policy
Impact:
None - this is the default behavior.
See Also:
https://workbench.cisecurity.org/benchmarks/21719
Reference:
800-53|SI-16, 800-53r5|SI-16, CSCv7|8.3, CSCv8|10.5, CSF2.0|PR.DS-10, GDPR|32.1.b, HIPAA|164.306(a)(1), ITSG-33|SI-16, LEVEL|1A
Policy Value:
3
Actual Value:
3</t>
  </si>
  <si>
    <t>"81.7 (L1) Ensure 'IIS Admin Service (IISADMIN)' is set to 'Disabled' or 'Not Installed': [PASSED]"
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./Device/Vendor/MSFT/Policy/Config/SystemServices/ConfigureIISAdminServiceStartupMode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IISADMIN -StartupType Disabled
Impact:
IIS will not function, including Web, SMTP or FTP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</si>
  <si>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"81.8 (L1) Ensure 'Infrared monitor service (irmon)' is set to 'Disabled' or 'Not Installed': [PASSED]"
Detects other Infrared devices that are in range and launches the file transfer application.
The recommended state for this setting is: Disabled or Not Installed
Infrared connections can potentially be a source of data compromise - especially via the automatic 'file transfer application' functionality. Enterprise-managed systems should utilize a more secure method of connection than infrared.
Solution:
To establish the recommended configuration, set the following Custom Configuration Policy to 4 or confirm that the service is Not installed :
Name:  &lt;Enter name&gt;
Description: &lt;Enter Description&gt;
OMA-URI: ./Device/Vendor/MSFT/Policy/Config/SystemServices/ConfigureInfraredMonitorServiceStartupMode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irmon -StartupType Disabled
Impact:
Infrared file transfers will be prevented from working.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</si>
  <si>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"89.33 (L1) Ensure 'Restore Files And Directories' is set to 'Administrators': [PASSED]"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*S-1-5-32-544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configuration profiles, set the following Settings Catalog path to *S-1-5-32-544 (Administrators).
User Rights\Restore files and directories
Note: Include only one User or Group per line in the Settings Catalog configuration screen.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</si>
  <si>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"38.19 (L1) Ensure 'Enable Public Network Firewall: Disable Inbound Notifications' is set to 'True': [PASSED]"
Select this option to have Windows Firewall with Advanced Security display notifications to the user when a program is blocked from receiving inbound connections.
The recommended state for this setting is: True
Some organizations may prefer to avoid alarming users when firewall rules block certain types of network activity. However, notifications can be helpful when troubleshooting network issues involving the firewall.
Solution:
To establish the recommended configuration via configuration profiles, set the following Settings Catalog path to 'True':
Firewall\Enable Public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</si>
  <si>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"6.26 (L1) Ensure 'System Audit Security State Change' is set to include 'Success': [PASSED]"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configuration profiles, set the following Settings Catalog path to Success
Auditing\System 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</si>
  <si>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"4.5.3 (L1) Ensure 'MSS: (DisableIPSourceRouting) IP source routing protection level (protects against packet spoofing)' is set to 'Enabled: Highest protection, source routing is completely disabled': [PASSED]"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</si>
  <si>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"6.11 (L1) Ensure 'Audit Other Logon Logoff Events' is set to 'Success and Failure': [PASSED]"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Other Logon 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</si>
  <si>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"38.10 (L1) Ensure 'Enable Private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Private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</si>
  <si>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"4.10.20.1.2 (L1) Ensure 'Turn off downloading of print drivers over HTTP' is set to 'Enabled': [PASSED]"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configuration profiles, set the following Settings Catalog path to Enabled
Administrative Templates\System\Internet Communication Management\Internet Communication settings\Turn off downloading of print drivers over HTTP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https://workbench.cisecurity.org/benchmarks/21719
Reference:
800-171|3.4.8, 800-171r3|03.04.08, 800-53|CM-7(5), 800-53r5|CM-7(5), CSCv7|2.7, CSF|PR.IP-1, CSF|PR.PT-3, CSF2.0|PR.PS-01, GDPR|32.1.b, HIPAA|164.306(a)(1), ISO-27001-2022|A.8.19, ISO/IEC-27001|A.12.5.1, ISO/IEC-27001|A.12.6.2, ITSG-33|CM-7, LEVEL|1A, NIAv2|SS15a, PCI-DSSv3.2.1|2.2.2, QCSC-v1|3.2, SWIFT-CSCv1|2.3, TBA-FIISB|44.2.2, TBA-FIISB|49.2.3
Policy Value:
1
Actual Value:
1</t>
  </si>
  <si>
    <t>"89.21 (L1) Ensure 'Increase Scheduling Priority' is set to 'Administrators, Window Manager\Window Manager Group': [PASSED]"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*S-1-5-32-544 and *S-1-5-90-0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configuration profiles, set the following Settings Catalog path to *S-1-5-32-544 and *S-1-5-90-0 (Administrators, Window Manager\Window Manager Group).
User Rights\Increase scheduling priority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'Window Manager Group') || ('Administrators' &amp;&amp; 'Window Manager\Window Manager Group')
Actual Value:
'window manager group' &amp;&amp; 'administrators'</t>
  </si>
  <si>
    <t>"23.1 (L1) Ensure 'DO Download Mode' is NOT set to 'HTTP blended with Internet Peering': [PASSED]"
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Due to privacy concerns and security risks, updates should only be downloaded directly from Microsoft, or from a trusted machine on the internal network that received
its
updates from a trusted source and approved by the network administrator.
Solution:
To establish the recommended configuration via configuration profiles, set the following Settings Catalog path to any value
other than
HTTP blended with Internet Peering :
Delivery Optimization\DO Download Mode
Impact:
Machines will not be able to download updates from peers on the Internet. If set to Enabled: HTTP only (0) Enabled: Simple (99) or Enabled: Bypass (100) machines will not be able to download updates from other machines on the same LAN.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 1 || 2 || 99 || 100
Actual Value:
0</t>
  </si>
  <si>
    <t>"38.4 (L1) Ensure 'Enable Domain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Domain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</si>
  <si>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"68.2 (L1) Ensure 'Allow Input Personalization' is set to 'Block': [PASSED]"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Block
If this setting is Enabled sensitive information could be stored in the cloud or sent to Microsoft.
Solution:
To establish the recommended configuration via configuration profiles, set the following Settings Catalog path to Block :
Privacy\Allow Input Personalization
Impact:
Automatic learning of speech, inking, and typing stops and users cannot change its value via PC Settings.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</si>
  <si>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"49.12 (L1) Ensure 'Microsoft network client: Digitally sign communications (always)' is set to 'Enabled': [PASSED]"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</si>
  <si>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"22.17 (L1) Ensure 'ASR: Block Office communication application from creating child processes' is set to 'Audit' or higher: [PASSED]"
This rule prevents Outlook from creating child processes, while still allowing legitimate Outlook functions.
The recommended state for this setting is: Audit Configuring this setting to Block also conforms to the benchmark.
This ASR rule protects against social engineering attacks and prevents exploiting code from abusing vulnerabilities in Outlook. It also protects against Outlook rules and forms exploits that attackers can use when a user's credentials are compromised.
Solution:
To establish the recommended configuration via configuration profiles, set the following Settings Catalog path to Audit or Block
Defender\Block Office communication application from creating child processes
Impact:
This rule will block DLP policy tips and ToolTips in Outlook, and applies to Outlook and Outlook.com only.
See Also:
https://workbench.cisecurity.org/benchmarks/21719
Reference:
800-53|SI-16, 800-53r5|SI-16, CSCv7|8.3, CSCv8|10.5, CSF2.0|PR.DS-10, GDPR|32.1.b, HIPAA|164.306(a)(1), ITSG-33|SI-16, LEVEL|1A
Policy Value:
'\b(?i)26190899-1602-49e8-8b27-eb1d0a1ce869=(1|2)\b'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</si>
  <si>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"6.15 (L1) Ensure 'Audit User Account Management' is set to 'Success and Failure': [PASSED]"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</si>
  <si>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"6.3 (L1) Ensure 'Account Logon Logoff Audit Group Membership' is set to include 'Success': [PASSED]"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configuration profiles, set the following Settings Catalog path to Success
Auditing\Account Logon Logoff 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CSCv7|4.8,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</si>
  <si>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"103.5 (L1) Ensure 'Scheduled Install Day' is set to 'Every day': [PASSED]"
This policy setting specifies when computers in your environment will receive security updates from Windows Update or WSUS.
The recommended state for this setting is: Every day
Note: This setting is only applicable if the option of 3 or 4 is selected in the recommendation
'Allow Auto Update'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Every day
Windows Update For Business\Scheduled Install Day
Impact:
If option 3 or 4 is selected in recommendation
'Allow Auto Update'
, critical operating system updates and service packs will automatically download every day (at 3:00 A.M., by default).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</si>
  <si>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"76.1.3 (L1) Ensure 'Notify Unsafe App' is set to 'Enabled': [PASSED]"
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
Solution:
To establish the recommended configuration via configuration profiles, set the following Settings Catalog path to Enabled :
Smart Screen\Enhanced Phishing Protection\Notify Unsafe App
Impact:
Saved passwords may be detected as false positives by Microsoft.
See Also:
https://workbench.cisecurity.org/benchmarks/21719
Reference:
800-53|SI-16, 800-53r5|SI-16, CSCv7|8.3, CSCv8|10.5, CSF2.0|PR.DS-10, GDPR|32.1.b, HIPAA|164.306(a)(1), ITSG-33|SI-16, LEVEL|1A
Policy Value:
1
Actual Value:
1</t>
  </si>
  <si>
    <t>"4.10.26.3 (L1) Ensure 'Do not enumerate connected users on domain-joined computers' is set to 'Enabled': [PASSED]"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Enabled
Administrative Templates\System\Logon\Do not enumerate connected users on domain-joined computers
Impact:
The Logon UI will not enumerate any connected users on domain-joined computers.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</si>
  <si>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"4.4.5 (L1) Ensure 'WDigest Authentication' is set to 'Disabled': [PASSED]"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configuration profiles, set the following Settings Catalog path to Disabled
Administrative Templates\MS Security Guide\WDigest Authentication (disabling may require KB2871997)
Impact:
None - this is also the default configuration for Windows 8.1 or newer.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0
Actual Value:
0</t>
  </si>
  <si>
    <t>"89.29 (L1) Ensure 'Profile Single Process' is set to 'Administrators':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*S-1-5-32-544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configuration profiles, set the following Settings Catalog path to *S-1-5-32-544 (Administrators).
User Rights\Profile single process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</si>
  <si>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"22.5 (L1) Ensure 'Allow scanning of all downloaded files and attachments' is set to 'Allowed': [PASSED]"
This policy setting configures scanning for all downloaded files and attachments.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scanning of all downloaded files and attachments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</si>
  <si>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"4.10.31.2 (L1) Ensure 'Restrict Unauthenticated RPC clients' is set to 'Enabled: Authenticated': [PASSED]"
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 None ' allows all RPC clients to connect to RPC Servers running on the machine on which the policy setting is applied.
-- ' Authenticated ' allows only authenticated RPC Clients (per the definition above) to connect to RPC Servers running on the machine on which the policy setting is applied. Exemptions are granted to interfaces that have requested them.
-- ' Authenticated without exceptions '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
Unauthenticated RPC communication can create a security vulnerability.
Solution:
To establish the recommended configuration via configuration profiles, set the following Settings Catalog path to Enabled: Authenticated
Administrative Templates\System\Remote Procedure Call\Restrict Unauthenticated RPC clients
Impact:
None - this is the default behavior.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</si>
  <si>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"103.4 (L1) Ensure 'Manage preview builds' is set to 'Disable Preview builds': [PASSED]"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 Preview builds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configuration profiles, set the following Settings Catalog path to Disable Preview builds
Windows Update For Business\Manage preview builds
Impact:
Preview builds are prevented from installing on the device.
See Also:
https://workbench.cisecurity.org/benchmarks/21719
Reference:
800-171|3.4.8, 800-171r3|03.04.08, 800-53|CM-7(5), 800-53|CM-10, 800-53r5|CM-7(5), 800-53r5|CM-10, CSCv7|2.6, CSCv8|2.5, CSF|DE.CM-3, CSF|PR.IP-1, CSF|PR.PT-3, CSF2.0|DE.CM-03, CSF2.0|DE.CM-09, CSF2.0|PR.PS-01, GDPR|32.1.b, HIPAA|164.306(a)(1), ISO-27001-2022|A.5.32, ISO-27001-2022|A.8.19, ISO/IEC-27001|A.12.5.1, ISO/IEC-27001|A.12.6.2, ITSG-33|CM-7, LEVEL|1A, NIAv2|SS15a, PCI-DSSv3.2.1|2.2.2, QCSC-v1|3.2, QCSC-v1|8.2.1, SWIFT-CSCv1|2.3, TBA-FIISB|44.2.2, TBA-FIISB|49.2.3
Policy Value:
0
Actual Value:
0</t>
  </si>
  <si>
    <t>"76.1.4 (L1) Ensure 'Service Enabled' is set to 'Enabled': [PASSED]"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
Solution:
To establish the recommended configuration via configuration profiles, set the following Settings Catalog path to Enabled :
Smart Screen\Enhanced Phishing Protection\Service Enabled
Impact:
None - this is default behavior.
See Also:
https://workbench.cisecurity.org/benchmarks/21719
Reference:
800-53|SI-16, 800-53r5|SI-16, CSCv7|8.3, CSCv8|10.5, CSF2.0|PR.DS-10, GDPR|32.1.b, HIPAA|164.306(a)(1), ITSG-33|SI-16, LEVEL|1A
Policy Value:
1
Actual Value:
1</t>
  </si>
  <si>
    <t>"4.11.37.1 (L1) Ensure 'Prevent downloading of enclosures' is set to 'Enabled': [PASSED]"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configuration profiles, set the following Settings Catalog path to Enabled
Administrative Templates\Windows Components\RSS Feeds\Prevent downloading of enclosures
Impact:
Users cannot set the Feed Sync Engine to download an enclosure through the Feed property page. Developers cannot change the download setting through feed APIs.
See Also:
https://workbench.cisecurity.org/benchmarks/21719
Reference:
800-171|3.4.9, 800-171|3.13.13, 800-171r3|03.13.13, 800-53|CM-10, 800-53|CM-11, 800-53|SC-18, 800-53r5|CM-10, 800-53r5|CM-11, 800-53r5|SC-18, CSCv7|7.2, CSCv8|9.4, CSF|DE.CM-3, CSF|DE.CM-5, CSF2.0|DE.CM-03, CSF2.0|DE.CM-09, CSF2.0|PR.PS-01, CSF2.0|PR.PS-02, GDPR|32.1.b, HIPAA|164.306(a)(1), ISO-27001-2022|A.5.32, ISO-27001-2022|A.8.19, ISO/IEC-27001|A.12.6.2, ITSG-33|SC-18, LEVEL|1A, NIAv2|SU3, QCSC-v1|3.2, QCSC-v1|8.2.1, SWIFT-CSCv1|5.1
Policy Value:
1
Actual Value:
1</t>
  </si>
  <si>
    <t>"34.5 (L1) Ensure 'Do not show feedback notifications' is set to 'Feedback notifications are disabled': [PASSED]"
This policy setting allows an organization to prevent its devices from showing feedback questions from Microsoft.
The recommended state for this setting is: Feedback notifications are disabled
Users should not be sending any feedback to third-party vendors in an enterprise managed environment.
Solution:
To establish the recommended configuration via configuration profiles, set the following Settings Catalog path to Feedback notifications are disabled :
Experience\Do not show feedback notifications
Impact:
Users will no longer see feedback notifications through the Windows Feedback app.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</si>
  <si>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"22.27 (L1) Ensure 'Hide Exclusions From Local Users' is set to 'Enabled': [PASSED]"
This policy setting controls whether Microsoft Defender Antivirus exclusions are visible to local users on the system.
The recommended state for this setting is: If you enable this setting, local users will no longer be able to see the exclusion list in Windows Security App or via PowerShell.
Note: As of the publication of this Benchmark, the setting configuration state in Intune is the sentence above after
The recommended state for this setting is:
and not
Enabled
as the title states. This was done to keep title length to a minimum.
Only administrators should be able to view and manage Microsoft Defender Antivirus exclusions.
Solution:
To establish the recommended configuration via configuration profiles, set the following Settings Catalog path to If you enable this setting, local users will no longer be able to see the exclusion list in Windows Security App or via PowerShell.
Defender\Hide Exclusions From Local Users
Impact:
Local users will not be able to view Microsoft Defender Antivirus exclusions.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</si>
  <si>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"4.11.36.4.11.1 (L1) Ensure 'Do not delete temp folders upon exit' is set to 'Disabled': [PASSED]"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configuration profiles, set the following Settings Catalog path to Disabled
Administrative Templates\Windows Components\Remote Desktop Services\Remote Desktop Session Host\Temporary Folders\Do not delete temp folders upon exit
Impact:
None - this is the default behavior.
See Also:
https://workbench.cisecurity.org/benchmarks/21719
Reference:
800-171r3|03.03.03b., 800-171r3|03.14.08, 800-53|AU-11, 800-53|SI-12, 800-53r5|AU-11, 800-53r5|SI-12, CSCv7|9.2, CSCv8|3.4, CSF|PR.PT-1, CSF2.0|ID.AM-07, CSF2.0|ID.AM-08, CSF2.0|PR.PS-04, GDPR|32.1.b, HIPAA|164.306(a)(1), HIPAA|164.312(b), ISO-27001-2022|A.5.28, ISO-27001-2022|A.8.15, ITSG-33|AU-11, ITSG-33|SI-12, ITSG-33|SI-12a., LEVEL|1A, NESA|M5.2.3, NESA|M5.2.4, NESA|M5.3.1, NESA|T3.6.2, NIAv2|DR1, NIAv2|DR1a, NIAv2|DR1b, NIAv2|DR1c, NIAv2|DR2, NIAv2|DR3, NIAv2|DR4, NIAv2|DR5, NIAv2|DR6, NIAv2|SM7, PCI-DSSv3.2.1|3.1, PCI-DSSv3.2.1|10.7, PCI-DSSv4.0|3.2.1, PCI-DSSv4.0|10.5.1, QCSC-v1|8.2.1, QCSC-v1|13.2
Policy Value:
1
Actual Value:
1</t>
  </si>
  <si>
    <t>"89.25 (L1) Ensure 'Manage auditing and security log' is set to 'Administrators': [PASSED]"
This policy setting determines which users can change the auditing options for files and directories and clear the Security log.
The recommended state for this setting is: *S-1-5-32-544 (Administrators).
Note: This user right is considered a 'sensitive privilege' for the purposes of auditing.
The ability to manage the Security event log is a powerful user right and it should be closely guarded. Anyone with this user right can clear the Security log to erase important evidence of unauthorized activity.
Solution:
To establish the recommended configuration via configuration profiles, set the following Settings Catalog path to *S-1-5-32-544 (Administrators).
User Rights\Manage auditing and security log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</si>
  <si>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"4.11.55.1.3 (L1) Ensure 'Disallow Digest authentication' is set to 'Enabled': [PASSED]"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Enabled
Administrative Templates\Windows Components\Windows Remote Management (WinRM)\WinRM Client\Disallow Digest authentication
Impact:
The WinRM client will not use Digest authentication.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</si>
  <si>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"38.21 (L1) Ensure 'Enable Public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Firewall\Enable Public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</si>
  <si>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"38.14 (L1) Ensure 'Enable Private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Private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</si>
  <si>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"89.8 (L1) Ensure 'Create Page File' is set to 'Administrators': [PASSED]"
This policy setting allows users to change the size of the pagefile. By making the pagefile extremely large or extremely small, an attacker could easily affect the performance of a compromised computer.
The recommended state for this setting is: *S-1-5-32-544 (Administrators).
Users who can change the page file size could make it extremely small or move the file to a highly fragmented storage volume, which could cause reduced computer performance.
Solution:
To establish the recommended configuration via configuration profiles, set the following Settings Catalog path to *S-1-5-32-544 (Administrators).
User Rights\Create Page File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</si>
  <si>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"4.10.9.2 (L1) Ensure 'Prevent device metadata retrieval from the Internet' is set to 'Enabled': [PASSED]"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configuration profiles, set the following Settings Catalog path to Enabled
Administrative Templates\System\Device Installation\Prevent device metadata retrieval from the Internet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https://workbench.cisecurity.org/benchmarks/21719
Reference:
800-171|3.4.8, 800-171r3|03.04.08, 800-53|CM-7(5), 800-53|CM-10, 800-53|SI-16, 800-53r5|CM-7(5), 800-53r5|CM-10, 800-53r5|SI-16, CSCv8|2.5, CSCv8|10.5, CSF|DE.CM-3, CSF|PR.IP-1, CSF|PR.PT-3, CSF2.0|DE.CM-03, CSF2.0|DE.CM-09, CSF2.0|PR.DS-10, CSF2.0|PR.PS-01, GDPR|32.1.b, HIPAA|164.306(a)(1), ISO-27001-2022|A.5.32, ISO-27001-2022|A.8.19, ISO/IEC-27001|A.12.5.1, ISO/IEC-27001|A.12.6.2, ITSG-33|CM-7, ITSG-33|SI-16, LEVEL|1A, NIAv2|SS15a, PCI-DSSv3.2.1|2.2.2, QCSC-v1|3.2, QCSC-v1|8.2.1, SWIFT-CSCv1|2.3, TBA-FIISB|44.2.2, TBA-FIISB|49.2.3
Policy Value:
1
Actual Value:
1</t>
  </si>
  <si>
    <t>"6.18 (L1) Ensure 'Object Access Audit Detailed File Share' is set to include 'Failure': [PASSED]"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configuration profiles, set the following Settings Catalog path to Failure
Auditing\Object Access 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</si>
  <si>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"55.7 (L1) Ensure 'MSI Always install with elevated privileges'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</si>
  <si>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"81.42 (L1) Ensure 'Xbox Live Networking Service (XboxNetApiSvc)' is set to 'Disabled': [PASSED]"
This service supports the Windows.Networking.XboxLive application programming interface.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Networking Service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</si>
  <si>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"76.1.1 (L1) Ensure 'Notify Malicious' is set to 'Enabled': [PASSED]"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
Solution:
To establish the recommended configuration via configuration profiles, set the following Settings Catalog path to Enabled :
Smart Screen\Enhanced Phishing Protection\Notify Malicious
Impact:
In some cases, Windows Defender SmartScreen may block legitimate websites, that have been incorrectly flagged by Microsoft.
See Also:
https://workbench.cisecurity.org/benchmarks/21719
Reference:
800-53|SI-16, 800-53r5|SI-16, CSCv7|8.3, CSCv8|10.5, CSF2.0|PR.DS-10, GDPR|32.1.b, HIPAA|164.306(a)(1), ITSG-33|SI-16, LEVEL|1A
Policy Value:
1
Actual Value:
1</t>
  </si>
  <si>
    <t>"4.7.10 (L1) Ensure 'Point and Print Restrictions: When installing drivers for a new connection' is set to 'Enabled: Show warning and elevation prompt': [PASSED]"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installing drivers for a new connection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</si>
  <si>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"4.7.5 (L1) Ensure 'Configure RPC listener settings: Authentication protocol to use for incoming RPC connections:' is set to 'Enabled: Negotiate' or higher: [PASSED]"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Negotiate or higher: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800-171r3|03.05.02, 800-53|IA-3(1), 800-53r5|IA-3(1), CSF|PR.AC-1, CSF2.0|PR.AA-01, CSF2.0|PR.AA-03, GDPR|32.1.b, HIPAA|164.306(a)(1), HIPAA|164.312(a)(2)(i), HIPAA|164.312(d), ITSG-33|IA-3(1), LEVEL|1A, NESA|T5.4.3, QCSC-v1|13.2, TBA-FIISB|27.1
Policy Value:
0 || 1
Actual Value:
0</t>
  </si>
  <si>
    <t>"4.10.30.1 (L1) Ensure 'Configure Offer Remote Assistance' is set to 'Disabled': [PASSED]"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configuration profiles, set the following Settings Catalog path to Disabled
Administrative Templates\System\Remote Assistance\Configure Offer Remote Assistance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</si>
  <si>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"89.5 (L1) Ensure 'Backup Files And Directories' is set to 'Administrators': [PASSED]"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*S-1-5-32-544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configuration profiles, set the following Settings Catalog path to *S-1-5-32-544 (Administrators).
User Rights\Backup Files And Directories
Note: Include only one User or Group per line in the Settings Catalog configuration screen.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</si>
  <si>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"49.29 (L1) Ensure 'User Account Control: Behavior of the elevation prompt for standard users' is set to 'Automatically deny elevation requests': [FAILED]"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configuration profiles, set the following Settings Catalog path to Automatically deny elevation requests:
Local Policies 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Note #2: When using third-party remote support tools, this recommendation could prevent Administrators from entering their administrative credentials. In this case, an exception to this recommendation will be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1</t>
  </si>
  <si>
    <t>"72.3 (L1) Ensure 'Allow Search To Use Location' is set to 'Block': [PASSED]"
This policy setting specifies whether search and Cortana can provide location aware search and Cortana results.
The recommended state for this setting is: Block
In an enterprise managed environment, allowing Cortana and Search to have access to location data is unnecessary. Organizations likely do not want this information shared out.
Solution:
To establish the recommended configuration via configuration profiles, set the following Settings Catalog path to Block :
Search\Allow search to use location
Impact:
Search and Cortana will not have access to location information.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</si>
  <si>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"4.11.18.4 (L1) Ensure 'Turn off shell protocol protected mode' is set to 'Disabled': [PASSED]"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configuration profiles, set the following Settings Catalog path to Disabled
Administrative Templates\Windows Components\File Explorer\Turn off shell protocol protected mode
Impact:
None - this is the default behavior.
See Also:
https://workbench.cisecurity.org/benchmarks/21719
Reference:
800-171|3.4.2, 800-171|3.4.6, 800-171|3.4.7, 800-171r3|03.04.02, 800-171r3|03.04.06, 800-53|CM-6, 800-53|CM-7, 800-53r5|CM-6, 800-53r5|CM-7, CSCv7|8.3, CSCv8|4.8, CSF|PR.IP-1, CSF|PR.PT-3, CSF2.0|DE.CM-09, CSF2.0|PR.PS-01, GDPR|32.1.b, HIPAA|164.306(a)(1), ISO-27001-2022|A.8.9, ITSG-33|CM-6, ITSG-33|CM-7, LEVEL|1A, NIAv2|SS15a, PCI-DSSv3.2.1|2.2.2, SWIFT-CSCv1|2.3
Policy Value:
0
Actual Value:
0</t>
  </si>
  <si>
    <t>"6.22 (L1) Ensure 'Policy Change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Events for this subcategory include: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configuration profiles, set the following Settings Catalog path to Failure
Auditing\Policy Change 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</si>
  <si>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"4.11.18.2 (L1) Ensure 'Turn off Data Execution Prevention for Explorer' is set to 'Disabled': [PASSED]"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configuration profiles, set the following Settings Catalog path to Disabled
Administrative Templates\Windows Components\File Explorer\Turn off Data Execution Prevention for Explorer
Impact:
None - this is the default behavior.
See Also:
https://workbench.cisecurity.org/benchmarks/21719
Reference:
800-53|SI-16, 800-53r5|SI-16, CSCv7|8.3, CSCv8|10.5, CSF2.0|PR.DS-10, GDPR|32.1.b, HIPAA|164.306(a)(1), ITSG-33|SI-16, LEVEL|1A
Policy Value:
0
Actual Value:
0</t>
  </si>
  <si>
    <t>"38.15 (L1) Ensure 'Enable Public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Firewall\Enable Public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</si>
  <si>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 (L1) Ensure 'Account Logon Logoff Audit Account Lockout' is set to include 'Failure': [PASSED]"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configuration profiles, set the following Settings Catalog path to Failure
Auditing\Account Logon Logoff 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</si>
  <si>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"103.6 (L1) Ensure 'Block 'Pause Updates' ability' is set to 'Block': [PASSED]"
This policy removes access to 'Pause updates' feature.
The recommended state for this setting is: Block
In order to ensure security and system updates are applied, system administrators should control when updates are applied to systems.
Solution:
To establish the recommended configuration via GP, set the following UI path to Block :
Windows Update For Business\Block 'Pause Updates' ability
Impact:
Users will not be able to select the 'Pause updates' option in Windows Update to prevent updates from being installed on a system.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</si>
  <si>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"81.41 (L1) Ensure 'Xbox Live Game Save (XblGameSave)' is set to 'Disabled': [PASSED]"
This service syncs save data for Xbox Live save enabled games.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Game Save
Impact:
Game save data will not upload to or download from Xbox Live.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</si>
  <si>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"4.10.5.2 (L1) Ensure 'Remote host allows delegation of non-exportable credentials' is set to 'Enabled': [PASSED]"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configuration profiles, set the following Settings Catalog path to Enabled
Administrative Templates\System\Credentials Delegation\Remote host allows delegation of non-exportable credentials
Impact:
The host will support the
Restricted Admin Mode
and
Windows Defender Remote Credential Guard
features.
See Also:
https://workbench.cisecurity.org/benchmarks/21719
Reference:
800-171|3.5.2, 800-171r3|03.05.12, 800-53|IA-5, 800-53r5|IA-5, CSCv7|16.5, CSF|PR.AC-1, CSF2.0|PR.AA-01, CSF2.0|PR.AA-03, GDPR|32.1.b, HIPAA|164.306(a)(1), HIPAA|164.312(a)(2)(i), HIPAA|164.312(d), ISO-27001-2022|A.5.16, ISO-27001-2022|A.5.17, ITSG-33|IA-5, LEVEL|1A, NESA|T5.2.3, QCSC-v1|5.2.2, QCSC-v1|13.2
Policy Value:
1
Actual Value:
1</t>
  </si>
  <si>
    <t>"98.2 (L1) Ensure 'Allow Windows Ink Workspace' is set to 'Enabled: but the user can't access it above the lock screen' OR 'Disabled': [PASSED]"
This policy setting determines whether Windows Ink items are allowed above the lock screen.
The recommended state for this setting is: Ink workspace is enabled (feature is turned on), but the user can't access it above the lock screen OR Access to ink workspace is disabled. The feature is turned off
Allowing any apps to be accessed while system is locked is not recommended. If this feature is permitted, it should only be accessible once a user authenticates with the proper credentials.
Solution:
To establish the recommended configuration via configuration profiles, set the following Settings Catalog path to Ink workspace is enabled (feature is turned on), but the user can't access it above the lock screen OR Access to ink workspace is disabled. The feature is turned off
Windows Ink Workspace\Allow Windows Ink Workspace
Impact:
Windows Ink Workspace will not be permitted above the lock screen.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</si>
  <si>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"4.7.2 (L1) Ensure 'Configure Redirection Guard: Redirection Guard Options' is set to 'Enabled: Redirection Guard Enabled': [PASSED]"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configuration profiles, set the following Settings Catalog path to Enabled: Redirection Guard Enabled :
Administrative Templates\Printers\Configure Redirection Guard: Redirection Guard Options
Impact:
None - this is default behavior.
See Also:
https://workbench.cisecurity.org/benchmarks/21719
Reference:
800-53|SI-16, 800-53r5|SI-16, CSCv7|8.3, CSCv8|10.5, CSF2.0|PR.DS-10, GDPR|32.1.b, HIPAA|164.306(a)(1), ITSG-33|SI-16, LEVEL|1A
Policy Value:
1
Actual Value:
1</t>
  </si>
  <si>
    <t>"22.2 (L1) Ensure 'Allow Email Scanning' is set to 'Allowed': [PASSED]"
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Allowed
Incoming e-mails should be scanned by an antivirus solution such as Microsoft Defender Antivirus, as email attachments are a commonly used attack vector to infiltrate computers with malicious software.
Solution:
To establish the recommended configuration via configuration profiles, set the following Settings Catalog path to Allowed
Defender\Allow Email Scanning
Impact:
E-mail scanning by Microsoft Defender Antivirus will be enabled.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</si>
  <si>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"4.10.30.2 (L1) Ensure 'Configure Solicited Remote Assistance' is set to 'Disabled': [PASSED]"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configuration profiles, set the following Settings Catalog path to Disabled
Administrative Templates\System\Remote Assistance\Configure Solicited Remote Assistance
Impact:
Users on this computer cannot use e-mail or file transfer to ask someone for help. Also, users cannot use instant messaging programs to allow connections to this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</si>
  <si>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"4.11.50.2 (L1) Ensure 'Sign-in and lock last interactive user automatically after a restart' is set to 'Disabled': [PASSED]"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configuration profiles, set the following Settings Catalog path to Disabled
Administrative Templates\Windows Components\Windows Logon Options\Sign-in and lock last interactive user automatically after a restart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</si>
  <si>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"4.11.6.3 (L1) Ensure 'Turn off Autoplay' is set to 'Enabled: All drives': [PASSED]"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configuration profiles, set the following Settings Catalog path to Enabled: All drives
Administrative Templates\Windows Components\AutoPlay Policies\Turn off Autoplay
Impact:
Autoplay will be disabled - users will have to manually launch setup or installation programs that are provided on removable media.
See Also:
https://workbench.cisecurity.org/benchmarks/21719
Reference:
800-171|3.8.7, 800-171r3|03.08.07, 800-53|MP-7, 800-53r5|MP-7, CN-L3|8.5.4.1(c), CSCv7|8.5, CSCv8|10.3, CSF|PR.PT-2, GDPR|32.1.b, HIPAA|164.306(a)(1), HIPAA|164.312(a)(1), ISO-27001-2022|A.5.10, ISO-27001-2022|A.7.10, ISO/IEC-27001|A.8.3.1, ISO/IEC-27001|A.8.3.3, LEVEL|1A, NESA|T1.4.1
Policy Value:
255
Actual Value:
255</t>
  </si>
  <si>
    <t>"49.25 (L1) Ensure 'Network Security Minimum Session Security For NTLMSSP Based Clients' is set to 'Require NTLM and 128-bit encryption': [PASSED]"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</si>
  <si>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"4.11.15.4.1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Service\System\Control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</si>
  <si>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"6.24 (L1) Ensure 'System Audit I Psec Driver' is set to 'Success and Failure': [PASSED]"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I 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</si>
  <si>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"81.29 (L1) Ensure 'Web Management Service (WMSvc)' is set to 'Disabled' or 'Not Installed': [PASSED]"
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
Solution:
To establish the recommended configuration, set the following Custom Configuration Policy to 4 or confirm that the service is Not installed :
Name:  &lt;Enter name&gt;
Description: &lt;Enter Description&gt;
OMA-URI: ./Device/Vendor/MSFT/Policy/Config/SystemServices/ConfigureWebManagementServiceStartupMode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WMSvc -StartupType Disabled
Impact:
Remote web-based management of IIS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</si>
  <si>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"94.1 (L1) Ensure 'Allow widgets' is set to 'Not allowed': [PASSED]"
This policy setting specifies whether the Widgets feature is allowed on the device. The Widgets feature provides information such as, weather, news, sports, stocks, traffic, and entertainment (not an inclusive list).
The recommended state for this setting is: Not allowed
Due to privacy concerns, apps and features such as Widgets on the Windows taskbar should be treated as a possible security risk due to the potential of data being sent back to third-parties, such as Microsoft.
Solution:
To establish the recommended configuration via configuration profiles, set the following Settings Catalog path to Not Allowed
Widgets\Allow widgets
Impact:
The Widgets feature on the Windows taskbar will not be available on the device.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</si>
  <si>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"80.8 (L1) Ensure 'Limit Dump Collection' is set to 'Enabled': [PASSED]"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Sending this data to a third-party vendor is a security concern and should only be done on an as-needed basis.
Solution:
To establish the recommended configuration via configuration profiles, set the following Settings Catalog path to Enabled
System\Limit Dump Collection
Impact:
Windows Error Reporting is limited to sending kernel mini and user mode triage memory dumps, reducing the risk of sending sensitive information to Microsoft.
See Also:
https://workbench.cisecurity.org/benchmarks/21719
Reference:
800-171|3.3.1, 800-171|3.3.2, 800-171r3|03.03.01, 800-53|AU-2, 800-53r5|AU-2, CN-L3|8.1.4.3(a), CSF|PR.PT-1, CSF2.0|PR.PS-04, GDPR|32.1.b, HIPAA|164.306(a)(1), HIPAA|164.312(b), ISO-27001-2022|A.8.15, ITSG-33|AU-2, LEVEL|1A, NESA|M1.2.2, NESA|M5.5.1, NIAv2|AM7, NIAv2|AM11a, NIAv2|AM11b, NIAv2|AM11c, NIAv2|AM11d, NIAv2|AM11e, NIAv2|SS30, NIAv2|VL8, QCSC-v1|8.2.1, QCSC-v1|13.2, SWIFT-CSCv1|6.4
Policy Value:
1
Actual Value:
1</t>
  </si>
  <si>
    <t>"89.26 (L1) Ensure 'Manage Volume' is set to 'Administrators': [PASSED]"
This policy setting allows users to manage the system's volume or disk configuration, which could allow a user to delete a volume and cause data loss as well as a denial-of-service condition.
The recommended state for this setting is: *S-1-5-32-544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configuration profiles, set the following Settings Catalog path to *S-1-5-32-544 (Administrators).
User Rights\Manage Volume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</si>
  <si>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"4.10.26.7 (L1) Ensure 'Turn on convenience PIN sign-in' is set to 'Disabled': [PASSED]"
This policy setting allows you to control whether a user can sign in using a convenience PIN.
Note: The user's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configuration profiles, set the following Settings Catalog path to Disabled
Administrative Templates\System\Logon\Turn on convenience PIN sign-in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</si>
  <si>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"4.7.11 (L1) Ensure 'Point and Print Restrictions: When updating drivers for an existing connection' is set to 'Enabled: Show warning and elevation prompt': [PASSED]"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updating drivers for an existing connection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0
Actual Value:
0</t>
  </si>
  <si>
    <t>"89.30 (L1) Ensure 'Profile System Performance' is set to 'Administrators, NT SERVICE\WdiServiceHost': [PASSED]"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*S-1-5-32-544, *S-1-5-80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configuration profiles, set the following Settings Catalog path to *S-1-5-32-544, *S-1-5-80 (Administrators, NT SERVICE\WdiServiceHost).
User Rights\Profile System Performance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('NT SERVICE\WdiServiceHost' || 'WdiServiceHost')
Actual Value:
'wdiservicehost' &amp;&amp; 'administrators'</t>
  </si>
  <si>
    <t>Conclusion</t>
  </si>
  <si>
    <t>Proof / Explanation</t>
  </si>
  <si>
    <t>Action</t>
  </si>
  <si>
    <t>s1</t>
  </si>
  <si>
    <t>s2</t>
  </si>
  <si>
    <t>s3</t>
  </si>
  <si>
    <t>s4</t>
  </si>
  <si>
    <t>s5</t>
  </si>
  <si>
    <t>s6</t>
  </si>
  <si>
    <t>Updated</t>
  </si>
  <si>
    <t xml:space="preserve"> </t>
  </si>
  <si>
    <t>Opposed: By showing the last user, users can tell if someone else signed in to their machine since their name will no longer show.</t>
  </si>
  <si>
    <t>Opposed. We will utilize a third party update software.</t>
  </si>
  <si>
    <t>"4.11.7.2.12 (BL) Ensure 'Require additional authentication at startup: Configure TPM startup PIN:' is set to 'Enabled: Require startup PIN with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Require startup PIN with TPM
Warning: If silent encryption is desired, this setting must be configured to Do not allow startup PIN with TPM and an exception to this recommendation will be needed. Please also see recommendation
Require additional authentication at startup: Configure TPM startup:' is set to 'Enabled: Do not allow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Require startup PIN with TPM
Administrative Templates\Windows Components\BitLocker Drive Encryption\Operating System Drives\Require additional authentication at startup: Configure TPM startup PIN:
Impact:
A startup PIN will be required in addition to a TPM for BitLocker authentication. A PIN requires physical presence to restart the computer. This functionality is not compatible with Wake on LAN solutions.
See Also:
https://workbench.cisecurity.org/benchmarks/21719
Reference:
800-171|3.5.2, 800-171r3|03.05.07, 800-53|IA-5(1), 800-53r5|IA-5(1), CSCv7|13.6, CSCv8|5.2, CSF|PR.AC-1, CSF2.0|PR.AA-01, CSF2.0|PR.AA-03, GDPR|32.1.b, HIPAA|164.306(a)(1), HIPAA|164.312(a)(2)(i), HIPAA|164.312(d), ISO-27001-2022|A.5.16, ISO-27001-2022|A.5.17, ITSG-33|IA-5(1), LEVEL|BLA, NESA|T5.2.3, QCSC-v1|5.2.2, QCSC-v1|13.2, SWIFT-CSCv1|4.1
Policy Value:
1
Actual Value:
0</t>
  </si>
  <si>
    <t>"4.11.7.3.1 (BL) Ensure 'Deny write access to removable drives not protected by BitLocker' is set to 'Enabled': [FAILED]"
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
Solution:
To establish the recommended configuration via configuration profiles, set the following Settings Catalog path to Enabled
Administrative Templates\Windows Components\BitLocker Drive Encryption\Removable Data Drives\Deny write access to removable drives not protected by BitLocker
Impact:
All removable data drives that are not BitLocker-protected will be mounted as read-only. If the drive is protected by BitLocker, it will be mounted with read and write access.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1
Actual Value:
0</t>
  </si>
  <si>
    <t>"4.7.4 (L1) Ensure 'Configure RPC connection settings: Use authentication for outgoing RPC connections' is set to 'Enabled: Default': [PASSED]"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Default :
Administrative Templates\Printers\Configure RPC connection settings: Use authentication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</si>
  <si>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"49.11 (L1) Ensure 'Interactive logon: Smart card removal behavior' is set to 'Lock Workstation' or higher: [PASSED]"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configuration profiles, set the following Settings Catalog path to Lock Workstation (or, if applicable for your environment, Force Logoff or Disconnect if a Remote Desktop Services session ):
Local Policies 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'^(1|2|3)$'
Actual Value:
'1'</t>
  </si>
  <si>
    <t>"4.11.36.4.3.1 (L2) Ensure 'Do not allow COM port redirection' is set to 'Enabled': [PASSED]"
This policy setting specifies whether to prevent the redirection of data to client COM ports from the remote computer in a Remote Desktop Services session.
The recommended state for this setting is: Enabled
In a more security-sensitive environment, it is desirable to reduce the possible attack surface. The need for COM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COM port redirection
Impact:
Users in a Remote Desktop Services session will not be able to redirect server data to local (client) COM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</si>
  <si>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"28.1 (BL) Ensure 'Device Enumeration Policy' is set to 'Block all (most restrictive)': [PASSED]"
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Block all (most restrictive)
Note : This policy does not apply to 1394, PCMCIA or ExpressCard devices. The protection also only applies to Windows 10 R1803 or higher and requires a UEFI BIOS to function.
Note #2 : More information on this feature is available at this link:
Kernel DMA Protection for Thunderbolt(TM) 3 (Windows 10) | Microsoft Docs
.
Device memory sandboxing allows the OS to leverage the I/O Memory Management Unit (IOMMU) of a device to block unpermitted I/O, or memory access, by the peripheral.
Solution:
To establish the recommended configuration via configuration profiles, set the following Settings Catalog path to Block all (most restrictive)
Dma Guard\Device Enumeration Policy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
See Also:
https://workbench.cisecurity.org/benchmarks/21719
Reference:
800-171|3.4.1, 800-171r3|03.04.10, 800-53|CM-8, 800-53r5|CM-8, CN-L3|8.1.10.2(a), CN-L3|8.1.10.2(b), CSCv7|1.4, CSF|DE.CM-7, CSF|ID.AM-1, CSF|ID.AM-2, CSF|PR.DS-3, CSF2.0|ID.AM-01, CSF2.0|ID.AM-02, CSF2.0|PR.PS-01, GDPR|32.1.b, HIPAA|164.306(a)(1), ISO-27001-2022|A.5.9, ISO-27001-2022|A.8.9, ITSG-33|CM-8, LEVEL|BLA, NESA|T1.2.1, NESA|T1.2.2
Policy Value:
0
Actual Value:
0</t>
  </si>
  <si>
    <t>"81.35 (L2) Ensure 'Windows PushToInstall Service (PushToInstall)' is set to 'Disabled': [FAILED]"
This service manages Apps that are pushed to the device from the Microsoft Store App running on other devices or the web.
The recommended state for this setting is: Disabled
In a high security managed environment, application installations should be managed centrally by IT staff, not by end users.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PushToInstall -StartupType Disabled
Impact:
Users will not be able to push Apps to this device from the Microsoft Store running on other devices or the web.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</si>
  <si>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"4.11.54.2 (L2) Ensure 'Turn on PowerShell Transcription' is set to 'Enabled': [PASSED]"
This Policy setting lets you capture the input and output of Windows PowerShell commands into text-based transcripts.
The recommended state for this setting is: Enabled
PowerShell transcript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Transcription
Impact:
PowerShell transcript input will be logged to the PowerShell_transcript output file, which is saved to the My Documents folder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the PowerShell_transcript output file, which could be exposed to users who have read-access to the file.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</si>
  <si>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"81.15 (L2) Ensure 'Problem Reports and Solutions Control Panel Support (wercplsupport)' is set to 'Disabled': [PASSED]"
This service provides support for viewing, sending and deletion of system-level problem reports for the Problem Reports and Solutions control panel.
The recommended state for this setting is: Disabled
This service is involved in the process of displaying/reporting issues &amp; solutions to/from Microsoft. In a high security environment, preventing this information from being sent can help reduce privacy concerns for sensitive corporate information.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wercplsupport -StartupType Disabled
Impact:
Sending and viewing system-level problem reports and solutions to and from Microsoft may no longer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</si>
  <si>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"4.11.28.10.1 (L2) Ensure 'Configure Watson events' is set to 'Disabled': [PASSED]"
This policy setting allows you to configure whether or not Watson events are sent.
The recommended state for this setting is: Disabled
Watson events are the reports that get sent to Microsoft when a program or service crashes or fails, including the possibility of automatic submission. Preventing this information from being sent can help reduce privacy concerns.
Solution:
To establish the recommended configuration via configuration profiles, set the following Settings Catalog path to Disabled
Administrative Templates\Windows Components\Microsoft Defender Antivirus\Reporting\Configure Watson events
Impact:
Watson events will not be sent to Microsoft automatically when a program or service crashes or fails.
See Also:
https://workbench.cisecurity.org/benchmarks/21719
Reference:
800-171|3.12.3, 800-171r3|03.12.03, 800-53|CA-7, 800-53r5|CA-7, CSCv7|13.3, CSF|DE.AE-2, CSF|DE.AE-3, CSF|DE.CM-1, CSF|DE.CM-2, CSF|DE.CM-3, CSF|DE.CM-6, CSF|DE.CM-7, CSF|DE.DP-1, CSF|DE.DP-2, CSF|DE.DP-3, CSF|DE.DP-4, CSF|DE.DP-5, CSF|ID.RA-1, CSF|PR.IP-7, CSF|PR.IP-8, CSF|RS.AN-1, CSF|RS.CO-3, CSF|RS.MI-3, CSF2.0|DE.AE-02, CSF2.0|DE.AE-03, CSF2.0|DE.CM-01, CSF2.0|DE.CM-02, CSF2.0|DE.CM-03, CSF2.0|DE.CM-06, CSF2.0|DE.CM-09, CSF2.0|ID.IM-01, CSF2.0|ID.IM-02, CSF2.0|ID.IM-03, CSF2.0|ID.RA-01, CSF2.0|ID.RA-07, GDPR|32.1.b, GDPR|32.1.d, GDPR|32.2, HIPAA|164.306(a)(1), HIPAA|164.312(b), ISO-27001-2022|A.5.36, ISO-27001-2022|9.1, ISO-27001-2022|9.3.2, ISO-27001-2022|9.3.3, ITSG-33|CA-7, LEVEL|2A, NESA|M1.2.2, NESA|M5.3.1, NESA|M5.4.1, NESA|M6.2.2, QCSC-v1|3.2, QCSC-v1|5.2.1, QCSC-v1|5.2.2, QCSC-v1|5.2.3, QCSC-v1|6.2, QCSC-v1|8.2.1, QCSC-v1|10.2.1, QCSC-v1|11.2
Policy Value:
1
Actual Value:
1</t>
  </si>
  <si>
    <t>"4.11.3.2 (L2) Ensure 'Block launching Universal Windows apps with Windows Runtime API access from hosted content.' is set to 'Enabled': [PASSED]"
This policy setting controls whether Microsoft Store apps with Windows Runtime API access directly from web content can be launched.
The recommended state for this setting is: Enabled
Blocking apps from the web with direct access to the Windows API can prevent malicious apps from being run on a system. Only system administrators should be installing approved applications.
Solution:
To establish the recommended configuration via configuration profiles, set the following Settings Catalog path to Enabled
Administrative Templates\Windows Components\App runtime\Block launching Universal Windows apps with Windows Runtime API access from hosted content.
Note: A reboot may be required after the setting is applied.
Impact:
Universal Windows apps which declare Windows Runtime API access in the ApplicationContentUriRules section of the manifest cannot be launched (Universal Windows apps which have not declared Windows Runtime API access in the manifest will not be affected).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</si>
  <si>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"4.11.7.2.4 (BL) Ensure 'Choose how BitLocker-protected operating system drives can be recovered: Allow data recovery agent' is set to 'Enabled: False':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False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False
Administrative Templates\Windows Components\BitLocker Drive Encryption\Operating System Drives\Choose how BitLocker-protected operating system drives can be recovered: Allow data recovery agent
Impact:
A Data Recovery Agent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</si>
  <si>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"80.1 (L2) Ensure 'Allow Font Providers' is set to 'Not allowed': [FAILED]"
This policy setting determines whether Windows is allowed to download fonts and font catalog data from an online font provider.
The recommended state for this setting is: Not allowed
In an enterprise managed environment the IT department should be managing the changes to the system configuration, to ensure all changes are tested and approved.
Solution:
To establish the recommended configuration via configuration profiles, set the following Settings Catalog path to Not allowed :
System\Allow Font Providers
Impact:
Windows will not connect to an online font provider and will only enumerate locally-installed fonts.
See Also:
https://workbench.cisecurity.org/benchmarks/21719
Reference:
800-171|3.5.2, 800-171r3|03.05.12, 800-53|IA-5, 800-53r5|SR-11, CSCv7|18.4, CSCv8|16.5, CSF|PR.AC-1, CSF2.0|PR.AA-01, CSF2.0|PR.AA-03, GDPR|32.1.b, HIPAA|164.306(a)(1), HIPAA|164.312(a)(2)(i), HIPAA|164.312(d), ISO-27001-2022|A.5.16, ISO-27001-2022|A.5.17, ITSG-33|IA-5, LEVEL|2A, NESA|T5.2.3, QCSC-v1|5.2.2, QCSC-v1|13.2
Policy Value:
0
Actual Value:
1</t>
  </si>
  <si>
    <t>"68.3 (L2) Ensure 'Disable Advertising ID' is set to 'Enabled': [PASSED]"
This policy setting turns off the advertising ID, preventing apps from using the ID for experiences across apps.
The recommended state for this setting is: Enabled
Tracking user activity for advertising purposes, even anonymously, may be a privacy concern. In an enterprise managed environment, applications should not need or require tracking for targeted advertising.
Solution:
To establish the recommended configuration via configuration profiles, set the following Settings Catalog path to Enabled :
Privacy\Disable Advertising ID
Impact:
The advertising ID is turned off. Apps can't use the ID for experiences across apps.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</si>
  <si>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"81.36 (L2) Ensure 'Windows Remote Management (WS-Management) (WinRM)' is set to 'Disabled': [PASSED]"
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recommended state for this setting is: Disabled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WinRM -StartupType Disabled
Impact:
The ability to remotely manage the system with WinRM will be lost.
Note: Many remote administration tools, such as System Center Configuration Manager (SCCM), may require the WinRM service to be operational for remote management.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</si>
  <si>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"4.10.9.1.3 (BL) Ensure 'Prevent installation of devices using drivers that match these device setup classes: Prevent installation of devices using drivers for these device setup' is set to 'IEEE 1394 device setup classes':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The recommended state for this setting is: {d48179be-ec20-11d1-b6b8-00c04fa372a7} {7ebefbc0-3200-11d2-b4c2-00a0C9697d07} {c06ff265-ae09-48f0-812c-16753d7cba83} and {6bdd1fc1-810f-11d0-bec7-08002be2092f}
Note: IEEE 1394 has also been known/branded as
FireWire
(by Apple),
i.LINK
(by Sony) and
Lynx
(by Texas Instruments).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add {d48179be-ec20-11d1-b6b8-00c04fa372a7} {7ebefbc0-3200-11d2-b4c2-00a0C9697d07} {c06ff265-ae09-48f0-812c-16753d7cba83} and {6bdd1fc1-810f-11d0-bec7-08002be2092f} to the device setup classes list.
Administrative Templates\System\Device Installation\Device Installation Restrictions\Prevent installation of devices using drivers that match these device setup classes
Impact:
IEEE 1394 drives &amp; devices will be prevented from being installed in Windows.
See Also:
https://workbench.cisecurity.org/benchmarks/21719
Reference:
800-171|3.14.2, 800-171|3.14.4, 800-171|3.14.5, 800-171r3|03.14.02c.02, 800-53|SI-3c.2., 800-53r5|SI-3c.2., CN-L3|7.1.3.6(b), CN-L3|8.1.4.5, CN-L3|8.1.9.6(a), CN-L3|8.1.9.6(b), CN-L3|8.1.10.5(b), CN-L3|8.1.10.7(a), CN-L3|8.1.10.7(b), CSF|DE.CM-4, CSF|DE.DP-3, CSF2.0|PR.DS-01, CSF2.0|PR.DS-02, CSF2.0|PR.DS-10, GDPR|32.1.b, HIPAA|164.306(a)(1), ISO-27001-2022|A.8.7, ISO/IEC-27001|A.12.2.1, ITSG-33|SI-3c.b., LEVEL|BLA, NESA|T3.4.1, NIAv2|NS24, PCI-DSSv3.2.1|5.1, PCI-DSSv3.2.1|5.1.1, PCI-DSSv4.0|5.3.2, PCI-DSSv4.0|5.3.3, QCSC-v1|3.2, QCSC-v1|5.2.3, QCSC-v1|8.2.1, TBA-FIISB|49.2.1, TBA-FIISB|49.2.2, TBA-FIISB|49.3.1, TBA-FIISB|49.3.2, TBA-FIISB|50.2.1, TBA-FIISB|51.2.4, TBA-FIISB|51.2.7
Policy Value:
'STATUS: PASSED'
Actual Value:
'The following values are missing:_x000D_
_x000D_
{d48179be-ec20-11d1-b6b8-00c04fa372a7}_x000D_
{7ebefbc0-3200-11d2-b4c2-00a0C9697d07}_x000D_
{c06ff265-ae09-48f0-812c-16753d7cba83}_x000D_
{6bdd1fc1-810f-11d0-bec7-08002be2092f}_x000D_
_x000D_
STATUS: FAILED'</t>
  </si>
  <si>
    <t>"26.4 (L1) Ensure 'Device Password Enabled: Device Password Expiration' is set to '365 or fewer days, but not 0': [PASSED]"
This policy setting defines how long a user can use their password before it expires.
The recommended state for this setting is 365 or fewer days, but not 0
Note: Values for this policy setting range from 0 to 730 days. If this policy is set to the value 0, the password will never expire.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Solution:
To establish the recommended configuration via configuration profiles, set the following Settings Catalog path to 365 or fewer days, but not 0 :
Device Lock\Device Password Enabled: Device Password Expiration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0
Actual Value:
0</t>
  </si>
  <si>
    <t>"4.11.7.1.6 (BL) Ensure 'Choose how BitLocker-protected fixed drives can be recovered: Do not enable BitLocker until recovery information is stored to AD DS for fixed data drives' is set to 'Enabled: False': [FAILED]"
This policy setting allows you to control how BitLocker-protected fixed data drives are recovered in the absence of the required credentials. This policy setting is applied when you turn on BitLocker.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Do not enable BitLocker until recovery information is stored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</si>
  <si>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"81.14 (L2) Ensure 'Print Spooler (Spooler)' is set to 'Disabled': [FAILED]"
This service spools print jobs and handles interaction with printers.
The recommended state for this setting is: Disabled
In a high security environment, unnecessary services especially those with known vulnerabilities should be disabled.
Disabling the Print Spooler (Spooler) service mitigates the PrintNightmare vulnerability (
CVE-2021-34527
) and other attacks against the service.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Spooler -StartupType Disabled
Impact:
Users will not be able to print, including printing to files (such as Adobe Portable Document Format (PDF)) which uses the Print Spooler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</si>
  <si>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"80.4 (L2) Ensure 'Disable Enterprise Auth Proxy' is set to 'Enable': [PASSED]"
This policy setting controls whether the Connected User Experience and Telemetry service can automatically use an authenticated proxy to send data back to Microsoft.
The recommended state for this setting is: Enable
Sending any data to a third-party vendor is a security concern and should only be done on an as needed basis.
Solution:
To establish the recommended configuration via configuration profiles, set the following Settings Catalog path to Enable
System\Disable Enterprise Auth Proxy
Impact:
The Connected User Experience and Telemetry service will be blocked from automatically using an authenticated proxy.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</si>
  <si>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"81.12 (L2) Ensure 'Microsoft iSCSI Initiator Service (MSiSCSI)' is set to 'Disabled': [PASSED]"
Manages Internet SCSI (iSCSI) sessions from this computer to remote target devices.
The recommended state for this setting is: Disabled
This service is critically necessary in order to directly attach to an iSCSI device. However, iSCSI itself uses a very weak authentication protocol (CHAP), which means that the passwords for iSCSI communication are easily exposed, unless all of the traffic is isolated and/or encrypted using another technology like IPsec. This service is generally more appropriate for servers in a controlled environment then on workstations requiring high security.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MSiSCSI -StartupType Disabled
Impact:
The computer will not be able to directly login to or access iSCSI targets.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</si>
  <si>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"68.4 (L1) Ensure 'Let Apps Activate With Voice Above Lock' is set to 'Enabled: Force Deny': [PASSED]"
This policy setting specifies whether Windows apps can be activated by voice (apps and Cortana) while the system is locked.
The recommended state for this setting is: Enabled: Force Deny
Access to any computer resource should not be allowed when the device is locked.
Solution:
To establish the recommended configuration via configuration profiles, set the following Settings Catalog path to Enabled: Force Deny :
Privacy\Let Apps Activate With Voice Above Lock
Impact:
Users will not be able to activate apps while the computer is locked.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2
Actual Value:
2</t>
  </si>
  <si>
    <t>"4.10.40.5.1 (L2) Ensure 'Microsoft Support Diagnostic Tool: Turn on MSDT interactive communication with support provider' is set to 'Disabled': [PASSED]"
This policy setting configures Microsoft Support Diagnostic Tool (MSDT) interactive communication with the support provider. MSDT gathers diagnostic data for analysis by support professionals.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Administrative Templates\System\Troubleshooting and Diagnostics\Microsoft Support Diagnostic Tool\Microsoft Support Diagnostic Tool: Turn on MSDT interactive communication with support provider
Impact:
MSDT cannot run in support mode, and no data can be collected or sent to the support provider.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</si>
  <si>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"4.11.36.4.3.3 (L2) Ensure 'Do not allow LPT port redirection' is set to 'Enabled': [PASSED]"
This policy setting specifies whether to prevent the redirection of data to client LPT ports during a Remote Desktop Services session.
The recommended state for this setting is: Enabled
In a more security-sensitive environment, it is desirable to reduce the possible attack surface. The need for LPT port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LPT port redirection
Impact:
Users in a Remote Desktop Services session will not be able to redirect server data to local (client) LPT ports.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</si>
  <si>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"4.10.20.1.7 (L2) Ensure 'Turn off Registration if URL connection is referring to Microsoft.com' is set to 'Enabled': [PASSED]"
This policy setting specifies whether the Windows Registration Wizard connects to Microsoft.com for online registration.
The recommended state for this setting is: Enabled
Users in an enterprise managed environment should not be registering their own copies of Windows, providing their own PII in the process.
Solution:
To establish the recommended configuration via configuration profiles, set the following Settings Catalog path to Enabled
Administrative Templates\System\Internet Communication Management\Internet Communication settings\Turn off Registration if URL connection is referring to Microsoft.com
Impact:
Users are blocked from connecting to Microsoft.com for online registration and they cannot register their copy of Windows online.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</si>
  <si>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"4.10.20.1.8 (L2) Ensure 'Turn off Search Companion content file updates' is set to 'Enabled': [PASSED]"
This policy setting specifies whether Search Companion should automatically download content updates during local and Internet searches.
The recommended state for this setting is: Enabled
There is a small risk that users will unknowingly reveal sensitive information because of the topics they are searching for. This risk is very low because even if this setting is enabled users still must submit search queries to the desired search engine in order to perform searches.
Solution:
To establish the recommended configuration via configuration profiles, set the following Settings Catalog path to Enabled
Administrative Templates\System\Internet Communication Management\Internet Communication settings\Turn off Search Companion content file updates
Impact:
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</si>
  <si>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"81.23 (L2) Ensure 'Server (LanmanServer)' is set to 'Disabled': [PASSED]"
Supports file, print, and named-pipe sharing over the network for this computer. If this service is stopped, these functions will be unavailable.
The recommended state for this setting is: Disabled
In a high security environment, a secure workstation should only be a
client
, not a server. Sharing workstation resources for remote access increases security risk as the attack surface is notably higher.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LanmanServer -StartupType Disabled
Impact:
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</si>
  <si>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"26.5 (L1) Ensure 'Device Password Enabled: Device Password History' is set to '24 or more password(s)': [PASSED]"
This policy setting determines the number of renewed, unique passwords that have to be associated with a user account before you can reuse an old password. In an Intune managed environment this setting applies to local user accounts and not Entra ID accounts.
The value includes the user's current password. This value denotes that with a setting of 1 the user can't reuse their current password when choosing a new password, while a setting of 5 means that a user can't set their new password to their current password or any of their previous four passwords.
The recommended state for this setting is: 24 or more password(s)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configuration profiles, set the following Settings Catalog path to 24 or more password(s) :
Device Lock\Device Password Enabled: Device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0
Actual Value:
0</t>
  </si>
  <si>
    <t>"68.1 (L2) Ensure 'Allow Cross Device Clipboard' is set to 'Block': [PASSED]"
This setting determines whether Clipboard contents can be synchronized across devices.
The recommended state for this setting is: Block
In high security environments, clipboard data should stay local to the system and not synced across devices, as it may contain very sensitive information that must be contained locally.
Solution:
To establish the recommended configuration via configuration profiles, set the following Settings Catalog path to Block :
Privacy\Allow Cross Device Clipboard
Impact:
Clipboard contents will not be shareable to other devices.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</si>
  <si>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"4.10.20.1.6 (L2) Ensure 'Turn off printing over HTTP' is set to 'Enabled': [FAILED]"
This policy setting allows you to disable the client computer's ability to print over HTTP, which allows the computer to print to printers on the intranet as well as the Internet.
The recommended state for this setting is: Enabled
Note: This control affects printing over both HTTP and HTTPS.
Information that is transmitted over HTTP through this capability is not protected and can be intercepted by malicious users. For this reason, it is not often used in enterprise managed environments.
Solution:
To establish the recommended configuration via configuration profiles, set the following Settings Catalog path to Enabled
Administrative Templates\System\Internet Communication Management\Internet Communication settings\Turn off printing over HTTP
Impact:
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
See Also:
https://workbench.cisecurity.org/benchmarks/21719
Reference:
800-171|3.4.2, 800-171|3.4.6, 800-171|3.4.7, 800-171r3|03.04.02, 800-171r3|03.04.06, 800-53|CM-6, 800-53|CM-7, 800-53r5|CM-6, 800-53r5|CM-7, CSCv7|13.3, CSCv8|4.8, CSF|PR.IP-1, CSF|PR.PT-3, CSF2.0|DE.CM-09, CSF2.0|PR.PS-01, GDPR|32.1.b, HIPAA|164.306(a)(1), ISO-27001-2022|A.8.9, ITSG-33|CM-6, ITSG-33|CM-7, LEVEL|2A, NIAv2|SS15a, PCI-DSSv3.2.1|2.2.2, SWIFT-CSCv1|2.3
Policy Value:
1
Actual Value:
0</t>
  </si>
  <si>
    <t>"26.8 (L1) Ensure 'Device Password Enabled: Min Device Password Length' is set to '14 or more character(s)': [PASSED]"
This policy setting determines the least number of characters that make up a password for a local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configuration profiles, set the following Settings Catalog path to 14 or more character(s) :
Device Lock\Device Password Enabled: Min Device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Warning:
Windows Autopilot - Policy Conflicts
: The out-of-box experience (OOBE) or user desktop auto logon can fail when a device reboots during the device Enrollment Status Page (ESP). This failure can occur when certain DeviceLock policies are applied to a device.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[14..4294967295]
Actual Value:
14</t>
  </si>
  <si>
    <t>"89.34 (L1) Ensure 'Shut Down The System' is set to 'Administrators, Users': [PASSED]"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*S-1-5-32-544 *S-1-5-32-545 (Administrators, Users).
The ability to shut down a workstation should be available generally to Administrators and authorized users of that workstation, but not permitted for guests or unauthorized users - in order to prevent a Denial of Service attack.
Solution:
To establish the recommended configuration via configuration profiles, set the following Settings Catalog path to *S-1-5-32-544 *S-1-5-32-545 (Administrators, Users).
User Rights\Shut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'Users' &amp;&amp; 'Administrators'
Actual Value:
'users' &amp;&amp; 'administrators'</t>
  </si>
  <si>
    <t>"26.3 (L1) Ensure 'Device Password Enabled: Min Device Password Complex Characters' is set to 'Digits and lowercase letters are required': [FAILED]"
This policy setting configures the number of complex element types (uppercase and lowercase letters, numbers, and punctuation) required for PIN or password.
The recommended state for this setting is: Digits and lowercase letters are required
Note: The enforcement of policies for Microsoft accounts happens on the server, and the server requires a password length of 8 and a complexity of 2 A complexity value of 3 or 4 is unsupported and setting this value on the server makes Microsoft accounts non-compliant. However, configuring this setting to 2 will force the value of 3 for Local accounts.
Passwords should contain complexity to ensure they are not easily guessed or brute-forced by a malicious actor.
Solution:
To establish the recommended configuration via configuration profiles, set the following Settings Catalog path to Digits lowercase letters and uppercase letters are required :
Device Lock\Device Password Enabled: Alphanumeric Device Password Required: Min Device Password Complex Characters
Note: As of March 20, 2025, this setting is nested under
Alphanumeric Device Password Required
and may not fully appear in Settings Catalog unless unchecked and re-checked in the settings picker.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3
Actual Value:
2</t>
  </si>
  <si>
    <t>"49.8 (L1) Ensure 'Interactive logon: Machine inactivity limit' is set to '900 or fewer second(s), but not 0': [PASSED]"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900 or fewer seconds, but not 0 :
Local Policies 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[1..900]
Actual Value:
600</t>
  </si>
  <si>
    <t>"49.5 (L2) Ensure 'Devices: Prevent users from installing printer drivers when connecting to shared printers' is set to 'Enable': [PASSED]"
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
Note: This setting does not affect the ability to add a local printer. This setting does not affect Administrators.
It may be appropriate in some organizations to allow users to install printer drivers on their own workstations. However, in a high security environment, you should allow only Administrators, not users, to do this, because printer driver installation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
Solution:
To establish the recommended configuration via configuration profiles, set the following Settings Catalog path to Enable :
Local Policies Security Options\Devices: Prevent users from installing printer drivers when connecting to shared printers
Impact:
Only Administrators will be able to install a printer driver as part of connecting to a shared printer. The ability to add a local printer will not be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1
Actual Value:
1</t>
  </si>
  <si>
    <t>"105.3 (L1) Ensure 'Password Complexity' is set to 'Large letters + small letters + numbers + special characters': [PASSED]"
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Complexity to Large letters + small letters + numbers + special characters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4
Actual Value:
4</t>
  </si>
  <si>
    <t>"61.1 (L2) Ensure 'Disallow Cloud Notification' is set to 'Allow': [FAILED]"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The recommended state for this setting is: Allow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To establish the recommended configuration via configuration profiles, set the following Settings Catalog path to Allow
Notifications\Disallow Cloud Notification
Impact:
Applications and system features will not be able receive notifications from the network from WNS or via notification polling APIs.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0</t>
  </si>
  <si>
    <t>"8.2 (BL) Ensure 'Allow Warning For Other Disk Encryption' is set to 'Disabled': [PASSED]"
This setting allows Admin to disable all UI (notification for encryption and warning prompt for other disk encryption) and turn on encryption on the user machines silently.
When you disable the warning prompt, the OS drive's recovery key will back up to the user's Microsoft Entra account. When you allow the warning prompt, the user who receives the prompt can select where to back up the OS drive's recovery key.
The endpoint for a fixed data drive's backup is chosen in the following order:
 - The user's Windows Server Active Directory Domain Services account.
 - The user's Microsoft Entra account.
 - The user's personal OneDrive (MDM/MAM only).
Encryption will wait until one of these three locations backs up successfully.
The recommended state for this setting is: Disabled
Note: Starting in Windows 10, version 1803, the value 0 can only be set for Microsoft Entra joined devices. Windows will attempt to silently enable BitLocker for value 0.
Silent encryption enables BitLocker to encrypt data without prompting the user, ensuring the encryption process is uninterrupted.
Solution:
To establish the recommended configuration via configuration profiles, set the following Settings Catalog path to Disabled :
Bitlocker\Allow Warning For Other Disk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</si>
  <si>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"4.11.7.5 (BL) Ensure 'Choose drive encryption method and cipher strength (Windows 10 [Version 1511] and later): Select the encryption method for operating system drives' is set to 'XTS-AES 128-bit (default)' or 'XTS-AES 256-bit': [PASSED]"
This policy setting determines which encryption method should be used for operating system drives.
The recommended state for this setting is: XTS-AES 128-bit (default) or XTS-AES 256-bit
Enforcing the default value of XTS-AES 128-bit (default) or higher helps ensure that a weaker cipher is not used to protect data on operating system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operating system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</si>
  <si>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"68.5 (L2) Ensure 'Upload User Activities' is set to 'Disabled': [PASSED]"
This policy setting determines whether published User Activities can be uploaded to the cloud.
The recommended state for this setting is: Disabled
Due to privacy concerns, data should never be sent to any third-party since this data could contain sensitive information.
Solution:
To establish the recommended configuration via configuration profiles, set the following Settings Catalog path to Disabled :
Privacy\Upload User Activities
Impact:
Activities of type User Activity are not allowed to be uploaded to the cloud. The Timeline feature will not function across devices.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</si>
  <si>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"4.11.18.1 (L1) Ensure 'Configure Windows Defender SmartScreen' is set to 'Enabled: Warn and prevent bypass': [PASSED]"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Defender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configuration profiles, set the following Settings Catalog path to Enabled: Warn and prevent bypass
Administrative Templates\Windows Components\File Explorer\Configure Windows Defender SmartScreen
Impact:
Users will be warned and prevented from running unrecognized programs downloaded from the Internet.
See Also:
https://workbench.cisecurity.org/benchmarks/21719
Reference:
800-53|SI-16, 800-53r5|SI-16, CSCv7|8.3, CSCv8|10.5, CSF2.0|PR.DS-10, GDPR|32.1.b, HIPAA|164.306(a)(1), ITSG-33|SI-16, LEVEL|1A
Policy Value:
1
Actual Value:
1</t>
  </si>
  <si>
    <t>"55.4 (L1) Ensure 'Block Non Admin User Install' is set to 'Allow': [PASSED]"
This setting manages non-Administrator users' ability to install Windows app packages.
The recommended state for this setting is: Allow
Warning: If the
Self Service Password Reset (SSPR)
feature is used in Microsoft Entra ID, an exception to this recommendation is needed as it's known to interfere with SSPR.
In a corporate managed environment, application installations should be managed centrally by IT staff, not by end users.
Solution:
To establish the recommended configuration via configuration profiles, set the following Settings Catalog path to Allow
Microsoft App Store\Block Non Admin User Install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
See Also:
https://workbench.cisecurity.org/benchmarks/21719
Reference:
800-171|3.4.8, 800-171r3|03.04.08, 800-53|CM-7(5), 800-53|CM-10, 800-53r5|CM-7(5), 800-53r5|CM-10, CSCv7|4.3, CSCv8|2.5, CSF|DE.CM-3, CSF|PR.IP-1, CSF|PR.PT-3, CSF2.0|DE.CM-03, CSF2.0|DE.CM-09, CSF2.0|PR.PS-01, GDPR|32.1.b, HIPAA|164.306(a)(1), ISO-27001-2022|A.5.32, ISO-27001-2022|A.8.19, ISO/IEC-27001|A.12.5.1, ISO/IEC-27001|A.12.6.2, ITSG-33|CM-7, LEVEL|1A, NIAv2|SS15a, PCI-DSSv3.2.1|2.2.2, QCSC-v1|3.2, QCSC-v1|8.2.1, SWIFT-CSCv1|2.3, TBA-FIISB|44.2.2, TBA-FIISB|49.2.3
Policy Value:
1
Actual Value:
1</t>
  </si>
  <si>
    <t>"4.10.20.1.4 (L2) Ensure 'Turn off Internet Connection Wizard if URL connection is referring to Microsoft.com' is set to 'Enabled': [PASSED]"
This policy setting specifies whether the Internet Connection Wizard can connect to Microsoft to download a list of Internet Service Providers (ISPs).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Internet Connection Wizard if URL connection is referring to Microsoft.com
Impact:
The 'Choose a list of Internet Service Providers' path in the Internet Connection Wizard causes the wizard to exit. This prevents users from retrieving the list of ISPs, which resides on Microsoft servers.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</si>
  <si>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 (BL) Ensure 'Require Device Encryption' is set to 'Enabled': [PASSED]"
This setting allows the Admin to require encryption to be turned on using BitLocker\Device Encryption. Disabling the policy won't turn off the encryption on the system drive. But will stop prompting the user to turn it on.
The recommended state for this setting is: Enabled
Note: Setting this policy to Enabled triggers encryption of all drives (silently or non-silently based on AllowWarningForOtherDiskEncryption policy).
Note #2: Currently only full disk encryption is supported when using this CSP for silent encryption. For non-silent encryption, encryption type will depend on SystemDrivesEncryptionType and FixedDrivesEncryptionType configured on the device.
Encrypting drives on end-user devices helps prevent sensitive data at rest from being read in the event a device is lost or stolen. Enabling this setting is also a requirement to turning encryption on machines silently without prompting the end user.
Solution:
To establish the recommended configuration via configuration profiles, set the following Settings Catalog path to Enabled :
Bitlocker\Require Device Encryption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</si>
  <si>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"81.30 (L2) Ensure 'Windows Error Reporting Service (WerSvc)' is set to 'Disabled': [PASSED]"
Allows errors to be reported when programs stop working or responding and allows existing solutions to be delivered. Also allows logs to be generated for diagnostic and repair services.
The recommended state for this setting is: Disabled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WerSvc -StartupType Disabled
Impact:
If this service is stopped, error reporting might not work correctly and results of diagnostic services and repairs might not be displayed.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</si>
  <si>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"22.31 (L2) Ensure 'Remote Encryption Protection Aggressiveness' is set to 'Medium' or higher: [PASSED]"
This policy setting configures how aggressively Remote Encryption Prevention Protection blocks malicious IP addresses.
The recommended state for this setting is: Medium: Use cloud aggregation and block when confidence level is above 99% or higher. Configuring this setting to High: Use cloud intel and context, and block when confidence level is above 90% also conforms to the benchmark.
Note: As of the publication of this Benchmark, the setting configuration state in Intune is the sentence above after
The recommended state for this setting is:
and not
Medium
or higher as the title states. This was done to keep title length to a minimum.
This feature can help reduce the likelihood of users visiting malicious websites.
Solution:
To establish the recommended configuration via configuration profiles, set the following Settings Catalog path to Medium: Use cloud aggregation and block when confidence level is above 99% or High: Use cloud intel and context, and block when confidence level is above 90%
Defender\Remote Encryption Protection Aggressiveness
Impact:
Legitimate websites could be blocked by Remote Encryption Prevention Protection. When set to Medium, blocks will occur when the confidence level is above 99%. When set to High, blocks will occur when confidence level is above 90%.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 2
Actual Value:
1</t>
  </si>
  <si>
    <t>"80.2 (L2) Ensure 'Allow Location' is set to 'Force Location Off...': [PASSED]"
This policy setting turns off the location feature for the computer.
The recommended state for this setting is: Force Location Off Force Location Off. All Location Privacy settings are toggled off and grayed out. Users can't change the settings, and no apps are allowed access to the Location service, including Cortana and Search.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To establish the recommended configuration via configuration profiles, set the following Settings Catalog path to Force Location Off...
System\Allow Location
Impact:
The location feature is turned off, and all programs on the computer are prevented from using location information from the location feature.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</si>
  <si>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"4.10.20.1.9 (L2) Ensure 'Turn off the 'Order Prints' picture task' is set to 'Enabled': [PASSED]"
This policy setting specifies whether the 'Order Prints Online' task is available from Picture Tasks in Windows folders.
The Order Prints Online Wizard is used to download a list of providers and allow users to order prints online.
The recommended state for this setting is: Enabled
In an enterprise managed environment we want to lower the risk of a user unknowingly exposing sensitive data.
Solution:
To establish the recommended configuration via configuration profiles, set the following Settings Catalog path to Enabled
Administrative Templates\System\Internet Communication Management\Internet Communication settings\Turn off the 'Order Prints' picture task
Impact:
The task 'Order Prints Online' is removed from Picture Tasks in File Explorer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</si>
  <si>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"4.5.12 (L2) Ensure 'MSS: (TcpMaxDataRetransmissions)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</si>
  <si>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"22.25 (L2) Ensure 'Enable File Hash Computation' is set to 'Enable': [PASSED]"
This setting determines whether hash values are computed for files scanned by Microsoft Defender.
The recommended state for this setting is: Enable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configuration profiles, set the following Settings Catalog path to Enable
Defender\Enable File Hash Computation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</si>
  <si>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"89.15 (L1) Ensure 'Deny Log On As Batch Job' to include 'Guests': [PASSED]"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*S-1-5-32-546 (Guests).
Accounts that have the Log on as a batch job user right could be used to schedule jobs that could consume excessive computer resources and cause a DoS condition.
Solution:
To establish the recommended configuration via configuration profiles, set the following Settings Catalog path to *S-1-5-32-546 (Guests).
User Rights\Deny Log On As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</si>
  <si>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"4.11.36.4.3.4 (L2) Ensure 'Do not allow supported Plug and Play device redirection' is set to 'Enabled': [PASSED]"
This policy setting allows you to control the redirection of supported Plug and Play devices, such as Windows Portable Devices, to the remote computer in a Remote Desktop Services session.
The recommended state for this setting is: Enabled
In a more security-sensitive environment, it is desirable to reduce the possible attack surface. The need for Plug and Play device redirection within a Remote Desktop session is very rare, so makes sense to reduce the number of unexpected avenues for data exfiltration and/or malicious code transfer.
Solution:
To establish the recommended configuration via configuration profiles, set the following Settings Catalog path to Enabled
Administrative Templates\Windows Components\Remote Desktop Services\Remote Desktop Session Host\Device and Resource Redirection\Do not allow supported Plug and Play device redirection
Impact:
Users in a Remote Desktop Services session will not be able to redirect their supported (local client) Plug and Play devices to the remote computer.
See Also:
https://workbench.cisecurity.org/benchmarks/21719
Reference:
800-171|3.4.6, 800-171|3.4.7, 800-171r3|03.04.06b., 800-53|CM-7b., 800-53r5|CM-7b., CN-L3|7.1.3.5(c), CN-L3|7.1.3.7(d), CN-L3|8.1.4.4(b), CSF|PR.IP-1, CSF|PR.PT-3, CSF2.0|PR.PS-01, GDPR|32.1.b, HIPAA|164.306(a)(1), ITSG-33|CM-7a., LEVEL|2A, NIAv2|SS13b, NIAv2|SS14a, NIAv2|SS14c, PCI-DSSv3.2.1|2.2.2, PCI-DSSv4.0|2.2.4, QCSC-v1|3.2, SWIFT-CSCv1|2.3
Policy Value:
1
Actual Value:
1</t>
  </si>
  <si>
    <t>"4.11.52.2.1 (L2) Ensure 'Prevent Codec Download (User)' is set to 'Enabled': [PASSED]"
This setting controls whether Windows Media Player is allowed to download additional codecs for decoding media files it does not already understand.
The recommended state for this setting is: Enabled
This has some potential for risk if a malicious data file is opened in Media Player that requires an additional codec to be installed. If a special codec is required for a necessary job function, then that codec should first be tested to ensure it is legitimate, and it should be supplied by the IT department in the organization.
Solution:
To establish the recommended configuration via configuration profiles, set the following Settings Catalog path to Enabled
Administrative Templates\Windows Components\Windows Media Player\Playback\Prevent Codec Download (User)
Impact:
Windows Media Player is prevented from automatically downloading codecs to your computer. In addition, the
Download codecs automatically
check box on the Player tab in the Player is not available.
See Also:
https://workbench.cisecurity.org/benchmarks/21719
Reference:
800-171|3.13.13, 800-171r3|03.13.13, 800-53|SC-18(3), 800-53r5|SC-18(3), CSF|DE.CM-5, GDPR|32.1.b, HIPAA|164.306(a)(1), ITSG-33|SC-18(3), LEVEL|2A, NIAv2|NS26f, QCSC-v1|3.2, QCSC-v1|8.2.1
Policy Value:
1
Actual Value:
Compliant items:</t>
  </si>
  <si>
    <t>"4.6.17.2 (L2) Ensure 'Prohibit access of the Windows Connect Now wizards' is set to 'Enabled': [PASSED]"
This policy setting prohibits access to Windows Connect Now (WCN) wizards.
The recommended state for this setting is: Enabled
Allowing standard users to access the Windows Connect Now wizard increases the risk and attack surface.
Solution:
To establish the recommended configuration via configuration profiles, set the following Settings Catalog path to Enabled
Administrative Templates\Network\Windows Connect Now\Prohibit access of the Windows Connect Now wizards
Impact:
The WCN wizards are turned off and users have no access to any of the wizard tasks. All the configuration related tasks including 'Set up a wireless router or access point' and 'Add a wireless device' are disabled.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</si>
  <si>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"4.11.35.1 (L2) Ensure 'Turn off Push To Install service' is set to 'Enabled': [PASSED]"
This policy setting controls whether users can push Apps to the device from the Microsoft Store App running on other devices or the web.
The recommended state for this setting is: Enabled
In a high security managed environment, application installations should be managed centrally by IT staff, not by end users.
Solution:
To establish the recommended configuration via configuration profiles, set the following Settings Catalog path to Enabled
Administrative Templates\Windows Components\Push to Install\Turn off Push To Install service
Impact:
Users will not be able to push Apps to this device from the Microsoft Store running on other devices or the web.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</si>
  <si>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"72.4 (L2) Ensure 'Allow search highlights' is set to '0': [PASSED]"
This policy setting controls search highlights in the start menu search box and in search home.
The recommended state for this setting is: 0
Note: As of February 2024 this setting does not deploy correctly on Windows 10 via Intune and only applies to Windows 11.
In a high security environment, data should never be sent to or received by any third-party since this data could contain sensitive information.
Solution:
To establish the recommended configuration via configuration profiles, set the following Settings Catalog path to 0 :
Search\Allow search highlights
Impact:
'Interesting', 'informative', and 'noteworthy' information about the current date will not be displayed (by Microsoft) to the user.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0</t>
  </si>
  <si>
    <t>"4.6.11.1 (L1) Ensure 'Hardened UNC Paths' is set to 'Enabled, with 'Require Mutual Authentication', 'Require Integrity', and 'Require Privacy' set for all NETLOGON and SYSVOL shares': [PASSED]"
This policy setting configures secure access to UNC paths.
The recommended state for this setting is: Enabled, with 'Require Mutual Authentication', 'Require Integrity', and 'Require Privacy' set for all NETLOGON and SYSVOL shares
Note: If the environment is 100% managed by Intune these shares will not be available. An exception to this recommendation will be needed.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configuration profiles, set the following Settings Catalog path to Enabled with the following paths configured, at a minimum:
\\*\NETLOGON RequireMutualAuthentication=1, RequireIntegrity=1, RequirePrivacy=1
\\*\SYSVOL RequireMutualAuthentication=1, RequireIntegrity=1, RequirePrivacy=1
Administrative Templates\Network\Network Provider\Hardened UNC Paths
Impact:
Windows only allows access to the specified UNC paths after fulfilling additional security requirements.
See Also:
https://workbench.cisecurity.org/benchmarks/21719
Reference:
800-171r3|03.05.02, 800-53|IA-3(1), 800-53r5|IA-3(1), CSF|PR.AC-1, CSF2.0|PR.AA-01, CSF2.0|PR.AA-03, GDPR|32.1.b, HIPAA|164.306(a)(1), HIPAA|164.312(a)(2)(i), HIPAA|164.312(d), ITSG-33|IA-3(1), LEVEL|1A, NESA|T5.4.3, QCSC-v1|13.2, TBA-FIISB|27.1
Policy Value:
PASSED
Actual Value:
All of the following must pass to satisfy this requirement:
-------------------------
PASSED - NETLOGON:
 Remote value: 'RequireMutualAuthentication=1,RequireIntegrity=1,RequirePrivacy=1'
 Policy value: '[Rr]equire([Mm]utual[Aa]uthentication|[Ii]ntegrity|[Pp]rivacy)=1.*[Rr]equire([Mm]utual[Aa]uthentication|[Ii]ntegrity|[Pp]rivacy)=1.*[Rr]equire([Mm]utual[Aa]uthentication|[Ii]ntegrity|[Pp]rivacy)=1'
-------------------------
PASSED - SYSVOL:
 Remote value: 'RequireMutualAuthentication=1,RequireIntegrity=1,RequirePrivacy=1'
 Policy value: '[Rr]equire([Mm]utual[Aa]uthentication|[Ii]ntegrity|[Pp]rivacy)=1.*[Rr]equire([Mm]utual[Aa]uthentication|[Ii]ntegrity|[Pp]rivacy)=1.*[Rr]equire([Mm]utual[Aa]uthentication|[Ii]ntegrity|[Pp]rivacy)=1'</t>
  </si>
  <si>
    <t>"81.19 (L2) Ensure 'Remote Desktop Services UserMode Port Redirector (UmRdpService)' is set to 'Disabled': [PASSED]"
Allows the redirection of Printers/Drives/Ports for RDP connections.
The recommended state for this setting is: Disabled
In a security-sensitive environment, it is desirable to reduce the possible attack surface - preventing the redirection of COM, LPT and PnP ports will reduce the number of unexpected avenues for data exfiltration and/or malicious code transfer within an RDP session.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UmRdpService -StartupType Disabled
Impact:
Printers, drives and ports (COM, LPT, PnP, etc.) will not be allowed to be redirected inside RDP sessions.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</si>
  <si>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"4.11.7.2.9 (BL) Ensure 'Require additional authentication at startup' is set to 'Enabled': [PASSED]"
This policy setting allows you to configure whether BitLocker requires additional authentication each time the computer starts and whether you are using BitLocker with or without a Trusted Platform Module (TPM). This policy setting is applied when you turn on BitLocker.
Note: Only one of the additional authentication options can be required at startup, otherwise a policy error occurs.
If you want to use BitLocker on a computer without a TPM, select the 'Allow BitLocker without a compatible TPM' check box. In this mode a USB drive is required for start-up and the key information used to encrypt the drive is stored on the USB drive, creating a USB key. When the USB key is inserted the access to the drive is authenticated and the drive is accessible. If the USB key is lost or unavailable you will need to use one of the BitLocker recovery options to access the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Users can configure advanced startup options in the BitLocker setup wizard.
Note #2: If you want to require the use of a startup PIN and a USB flash drive, you must configure BitLocker settings using the command-line tool manage-bde instead of the BitLocker Drive Encryption setup wizard.
The recommended state for this setting is: Enabled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Administrative Templates\Windows Components\BitLocker Drive Encryption\Operating System Drives\Require additional authentication at startup
Impact: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1
Actual Value:
1</t>
  </si>
  <si>
    <t>"4.11.28.3.2 (L2) Ensure 'Join Microsoft MAPS' is set to 'Disabled': [FAILED]"
This policy setting allows you to join Microsoft Active Protection Service (MAPS), which Microsoft renamed to
Windows Defender Antivirus Cloud Protection Service
and then
Microsoft Defender Antivirus Cloud Protection Service
. Microsoft MAPS / Microsoft Defender Antivirus Cloud Protection Service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definitions and help it to protect your computer.
Possible options are:
 - (0x0) Disabled (default)
 - (0x1) Basic membership
 -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The recommended state for this setting is: Disabled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
The information that would be sent can include things like location of detected items on your computer if harmful software was removed. The information would be automatically collected and sent. In some instances personal information might unintentionally be sent to Microsoft. However, Microsoft states that it will not use this information to identify you or contact you.
For privacy reasons in high security environments, it is best to prevent these data submissions altogether.
Solution:
To establish the recommended configuration via configuration profiles, set the following Settings Catalog path to Disabled
Administrative Templates\Windows Components\Microsoft Defender Antivirus\MAPS\Join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2</t>
  </si>
  <si>
    <t>"4.10.20.1.10 (L2) Ensure 'Turn off the 'Publish to Web' task for files and folders' is set to 'Enabled': [PASSED]"
This policy setting specifies whether the tasks Publish this file to the Web, Publish this folder to the Web, and Publish the selected items to the Web are available from File and Folder Tasks in Windows folders. The Web Publishing wizard is used to download a list of providers and allow users to publish content to the Web.
The recommended state for this setting is: Enabled
Users may publish confidential or sensitive information to a public service outside of the control of the organization.
Solution:
To establish the recommended configuration via configuration profiles, set the following Settings Catalog path to Enabled
Administrative Templates\System\Internet Communication Management\Internet Communication settings\Turn off the 'Publish to Web' task for files and folders
Impact:
The 'Publish to Web' task is removed from File and Folder tasks in Windows folders.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</si>
  <si>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"81.18 (L2) Ensure 'Remote Desktop Services (TermService)' is set to 'Disabled': [PASSED]"
Allows users to connect interactively to a remote computer. Remote Desktop and Remote Desktop Session Host Server depend on this service.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TermService -StartupType Disabled
Impact:
Remote Desktop Services will not be available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</si>
  <si>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"4.11.7.1.2 (BL) Ensure 'Choose how BitLocker-protected fixed drives can be recovered: Recovery Key' is set to 'Enabled: Allow 256-bit recovery key': [FAILED]"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256-bit recovery key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256-bit recovery key
Administrative Templates\Windows Components\BitLocker Drive Encryption\Fixed Data Drives\Choose how BitLocker-protected fixed drives can be recovered: Recovery Key
Impact:
A 256-bit recovery key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1</t>
  </si>
  <si>
    <t>"81.6 (L2) Ensure 'Geolocation Service (lfsvc)' is set to 'Disabled': [PASSED]"
This service monitors the current location of the system and manages geofences (a geographical location with associated events).
The recommended state for this setting is: Disabled
This setting affects the location feature (e.g. GPS or other location tracking). From a security perspective, it's not a good idea to reveal your location to software in most cases, but there are legitimate uses, such as mapping software. However, they should not be used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lfsvc -StartupType Disabled
Impact:
Applications will be unable to use or receive notifications for geolocation or geofences.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</si>
  <si>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"4.11.7.1.4 (BL) Ensure 'Choose how BitLocker-protected fixed drives can be recovered: Allow data recovery agent' is set to 'Enabled: True':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Allow data recovery agent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</si>
  <si>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"4.11.7.1.8 (BL) Ensure 'Choose how BitLocker-protected fixed drives can be recovered: Save BitLocker recovery information to AD DS for fixed data drives' is set to 'Enabled: False': [FAILED]"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False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False
Administrative Templates\Windows Components\BitLocker Drive Encryption\Fixed Data Drives\Choose how BitLocker-protected fixed drives can be recovered: Save BitLocker recovery information to AD DS for fixed data drives
Impact:
None - this is the default behavior.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1</t>
  </si>
  <si>
    <t>"81.9 (L2) Ensure 'Link-Layer Topology Discovery Mapper (lltdsvc)' is set to 'Disabled': [PASSED]"
Creates a Network Map, consisting of PC and device topology (connectivity) information, and metadata describing each PC and device.
The recommended state for this setting is: Disabled
The feature that this service enables could potentially be used for unauthorized discovery and connection to network devices. Disabling the service helps to prevent responses to requests for network topology discovery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lltdsvc -StartupType Disabled
Impact:
The Network Map will not function properly.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</si>
  <si>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"8.3 (BL) Ensure 'Allow Warning For Other Disk Encryption: Allow Standard User Encryption' is set to 'Enabled': [PASSED]"
This setting allows Admins to enforce 'Require Device Encryption' policy for scenarios where policy is pushed while current logged-on user is non-admin/standard user.
This policy is tied to 'Allow Warning For Other Disk Encryption' policy being set to '0', i.e, Silent encryption is enforced.
If 'Allow Warning For Other Disk Encryption' isn't set, or is set to '1', 'Require Device Encryption' policy won't try to encrypt drive(s) if a standard user is the current logged-on user in the system.
The recommended state for this setting is: Enabled
Enabling this ensures all fixed drives are encrypted regardless of the privileges assigned to the currently logged in user.
Solution:
To establish the recommended configuration via configuration profiles, set the following Settings Catalog path to Enabled :
Bitlocker\Allow Standard User Encryption
Impact:
Enabling BitLocker on a device with third party encryption may render the device unusable and will require reinstallation of Windows.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</si>
  <si>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"4.11.36.4.10.2 (L2) Ensure 'Set time limit for disconnected sessions' is set to 'Enabled: 1 minute': [PASSED]"
This policy setting allows you to configure a time limit for disconnected Remote Desktop Services sessions.
The recommended state for this setting is: Enabled: 1 minute
This setting helps to prevent active Remote Desktop sessions from tying up the computer for long periods of time while not in use, preventing computing resources from being consumed by large numbers of disconnected but still 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This setting is important to ensure a disconnected session is properly terminated.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 minute
Administrative Templates\Windows Components\Remote Desktop Services\Remote Desktop Session Host\Session Time Limits\Set time limit for disconnected sessions
Impact:
Disconnected Remote Desktop sessions are deleted from the server after 1 minute. Note that disconnected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60000
Actual Value:
60000</t>
  </si>
  <si>
    <t>"26.7 (L1) Ensure 'Device Password Enabled: Max Inactivity Time Device Lock' is set to '15 or fewer minutes, but not 0': [PASSED]"
Windows notices inactivity of a logon session, and if the amount of inactive time exceeds the inactivity limit, then the screen saver will run, locking the session.
The recommended state for this setting is: 15 or fewer minutes,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15 or fewer minutes, but not 0 :
Device Lock\Device Password Enabled: Max Inactivity Time Device Lock
Impact:
The screen saver will automatically activate when the computer has been unattended for the amount of time specified. The impact should be minimal since the screen saver is enabled by default.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[1..15]
Actual Value:
10</t>
  </si>
  <si>
    <t>"4.11.7.2.10 (BL) Ensure 'Require additional authentication at startup: Configure TPM startup key and PIN:' is set to 'Enabled: Do not allow startup key and PIN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and PIN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and PIN with TPM
Administrative Templates\Windows Components\BitLocker Drive Encryption\Operating System Drives\Require additional authentication at startup: Configure TPM startup key and PIN:
Impact:
A TPM, PIN
and
startup key will not be a permitted combination for BitLocker authentication. A PIN requires physical presence to restart the computer. This functionality is not compatible with Wake on LAN solutions.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</si>
  <si>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"4.11.7.2.5 (BL) Ensure 'Choose how BitLocker-protected operating system drives can be recovered: Configure storage of BitLocker recovery information to AD DS:' is set to 'Enabled: Store recovery passwords and key packages':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Store recovery passwords and key packages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Store recovery passwords and key packages
Administrative Templates\Windows Components\BitLocker Drive Encryption\Operating System Drives\Choose how BitLocker-protected operating system drives can be recovered: Configure storage of BitLocker recovery information to AD DS:
Impact:
Both the recovery password and the key package for the operating system drive will be saved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</si>
  <si>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"4.5.4 (L2) Ensure 'MSS: (DisableSavePassword) Prevent the dial-up password from being saved (recommended)' is set to 'Enabled': [PASSED]"
When you dial a phonebook or VPN entry in Dial-Up Networking, you can use the 'Save Password' option so that your Dial-Up Networking password is cached and you will not need to enter it on successive dial attempts. For security, administrators may want to prevent users from caching passwords.
The recommended state for this setting is: Enabled
An attacker who steals a mobile user's computer could automatically connect to the organization's network if the Save This Password check box is selected for the dial-up or VPN networking entry used to connect to your organization's network.
Solution:
To establish the recommended configuration via configuration profiles, set the following Settings Catalog path to Enabled
Administrative Templates\MSS (Legacy)\MSS:(DisableSavePassword) Prevent the dial-up password from being saved (recommended)
Impact:
Users will not be able to automatically store their logon credentials for dial-up and VPN connections.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LEVEL|2A, NESA|T1.2.1, NESA|T1.2.2, NESA|T3.2.5, NESA|T3.4.1, NESA|T4.5.3, NESA|T4.5.4, NESA|T7.2.1, NESA|T7.5.1, NESA|T7.5.3, NESA|T7.6.1, NESA|T7.6.2, NESA|T7.6.3, NESA|T7.6.5, NIAv2|SS3, NIAv2|SS15a, NIAv2|SS16, NIAv2|VL2, PCI-DSSv3.2.1|2.2.2, QCSC-v1|3.2, QCSC-v1|4.2, QCSC-v1|5.2.1, QCSC-v1|5.2.2, SWIFT-CSCv1|2.3
Policy Value:
1
Actual Value:
1</t>
  </si>
  <si>
    <t>"55.5 (L2) Ensure 'Disable Store Originated Apps' is set to 'Enabled': [FAILED]"
This setting configures the launch of all apps from the Microsoft Store that came pre-installed or were downloaded.
The recommended state for this setting is: Enabled
Note: This policy setting only applies to Windows 10 Enterprise and Windows 10 Education editions.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
Microsoft App Store\Disable Store Originated Apps
Impact:
All apps from the Microsoft Store that came pre-installed or were downloaded are prevented from launching. Existing Microsoft Store apps will not be updated. Microsoft Store is disabled.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</si>
  <si>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"4.11.7.2.1 (BL) Ensure 'Choose how BitLocker-protected operating system drives can be recovered' is set to 'Enabled': [PASSED]"
This policy setting allows you to control how BitLocker-protected operating system drives are recovered in the absence of the required startup key information. This policy setting is applied when you turn on BitLocker.
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Administrative Templates\Windows Components\BitLocker Drive Encryption\Operating System Drives\Choose how BitLocker-protected operating system drives can be recovered
Impact: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</si>
  <si>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"81.17 (L2) Ensure 'Remote Desktop Configuration (SessionEnv)' is set to 'Disabled': [PASSED]"
Remote Desktop Configuration service (RDCS) is responsible for all Remote Desktop related configuration and session maintenance activities that require SYSTEM context. These include per-session temporary folders, RD themes, and RD certificates.
The recommended state for this setting is: Disabled
In a high security environment, Remote Desktop access is an increased security risk. For these environments, only local console access should be permitted.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SessionEnv -StartupType Disabled
Impact:
Users will be unable to use Remote Assistance.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</si>
  <si>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"4.11.7.6 (BL) Ensure 'Choose drive encryption method and cipher strength (Windows 10 [Version 1511] and later): Select the encryption method for removable data drives' is set to 'XTS-AES 128-bit' or higher: [PASSED]"
This policy setting determines which encryption method should be used for operating system drives.
The recommended state for this setting is: XTS-AES 128-bit or XTS-AES 256-bit
The default value of AES-CBC 128-bit is used for backwards compatibility with other operating systems. Using the other available ciphers will increase the level of security for sensitive data, but it may impact compatibility with other operating systems.
This setting is included in the benchmark because it is automatically added when 'Choose drive encryption method and cipher strength' is enabled. System administrators should use the most secure cipher available to them whenever possible.
Solution:
To establish the recommended configuration via configuration profiles, set the following Settings Catalog path to: XTS-AES 128-bit or XTS-AES 256-bit
Administrative Templates\Windows Components\BitLocker Drive Encryption\Choose drive encryption method and cipher strength (Windows 10 [Version 1511] and later)\Select the encryption method for removable data drives:
Impact:
Using settings beyond the default value of AES-CBC 128-bit may decrease the backwards compatibility of encrypted removable drives when used in other systems.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</si>
  <si>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"54.1 (L2) Ensure 'Allow Message Sync' is set to 'message sync is not allowed and cannot be changed by the user.': [PASSED]"
This policy setting allows backup and restore of cellular text messages to Microsoft's cloud services.
The recommended state for this setting is: message sync is not allowed and cannot be changed by the user.
In a high security environment, data should never be sent to any third-party since this data could contain sensitive information.
Solution:
To establish the recommended configuration via configuration profiles, set the following Settings Catalog path to message sync is not allowed and cannot be changed by the user.:
Messaging\Allow Message Sync
Impact:
Cellular text messages will not be backed up to (or restored from) Microsoft's cloud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</si>
  <si>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"4.5.6 (L2) Ensure 'MSS: (KeepAliveTime) How often keep-alive packets are sent in milliseconds' is set to 'Enabled: 300,000 or 5 minutes (recommended)': [PASSED]"
This value controls how often TCP attempts to verify that an idle connection is still intact by sending a keep-alive packet. If the remote computer is still reachable, it acknowledges the keep-alive packet.
The recommended state for this setting is: Enabled: 300,000 or 5 minutes (recommended)
An attacker who is able to connect to network applications could establish numerous connections to cause a DoS condition.
Solution:
To establish the recommended configuration via configuration profiles, set the following Settings Catalog path to Enabled: 300,000 or 5 minutes (recommended)
Administrative Templates\MSS (Legacy)\MSS: (KeepAliveTime) How often keep-alive packets are sent in milliseconds
Impact:
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LEVEL|2A, NESA|T4.5.4, NIAv2|AM38, NIAv2|SS13d, NIAv2|SS26, PCI-DSSv3.2.1|1.4, PCI-DSSv4.0|1.5.1, QCSC-v1|5.2.1, QCSC-v1|5.2.2, QCSC-v1|6.2, QCSC-v1|8.2.1, TBA-FIISB|43.1
Policy Value:
[0..300000]
Actual Value:
300000</t>
  </si>
  <si>
    <t>"81.4 (L2) Ensure 'Downloaded Maps Manager (MapsBroker)' is set to 'Disabled': [PASSED]"
Windows service for application access to downloaded maps. This service is started on-demand by application accessing downloaded maps.
Mapping technologies can unwillingly reveal your location to attackers and other software that picks up the information. In addition, automatic downloads of data from third-party sources should be minimized when not needed. Therefore, this service should not be needed in high security environments.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MapsBroker -StartupType Disabled
Impact:
Applications will be prevented from accessing maps data.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</si>
  <si>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"4.11.36.4.2.1 (L2) Ensure 'Allow users to connect remotely by using Remote Desktop Services' is set to 'Disabled': [PASSED]"
This policy setting allows you to configure remote access to computers by using Remote Desktop Services.
The recommended state for this setting is: Disabled
Any account with the
Allow log on through Remote Desktop Services
user right can log on to the remote console of the computer. If you do not restrict access to legitimate users who need to log on to the console of the computer, unauthorized users could download and execute malicious code to elevate their privileges.
Solution:
To establish the recommended configuration via configuration profiles, set the following Settings Catalog path to Disabled
Administrative Templates\Windows Components\Remote Desktop Services\Remote Desktop Session Host\Connections\Allow users to connect remotely by using Remote Desktop Services
Impact:
None - this is the default configuration, unless Remote Desktop Services has been manually enabled on the Remote tab in the System Properties sheet.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1</t>
  </si>
  <si>
    <t>"26.6 (L1) Ensure 'Device Password Enabled: Max Device Password Failed Attempts' is set to '5 or fewer failed attempt(s), but not 0': [PASSED]"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When a user reaches the value set by this policy, the system is not wiped, instead the system will be in BitLocker recovery mode, which makes data inaccessible but recoverable. If BitLocker is not enabled, then this policy will not be enforced.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configuration profiles, set the following Settings Catalog path to 5 or fewer invalid logon attempt(s), but not 0 :
Device Lock\Device Password Enabled: Max Device Password Failed Attempts
Impact:
If this policy setting is enabled, a locked-out account will not be usable until it is reset by an administrator or until the account lockout duration expires. This setting may generate additional help desk calls.
If you enforce this setting an attacker could cause a denial-of-service condition by deliberately generating failed logons for multiple users,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[1..5]
Actual Value:
5</t>
  </si>
  <si>
    <t>"81.37 (L2) Ensure 'WinHTTP Web Proxy Auto-Discovery Service (WinHttpAutoProxySvc)' is set to 'Disabled': [FAILED]"
WinHTTP implements the client HTTP stack and provides developers with a Win32 API and COM Automation component for sending HTTP requests and receiving responses. In addition, WinHTTP provides support for auto-discovering a proxy configuration via its implementation of the Web Proxy Auto-Discovery (WPAD) protocol.
The recommended state for this setting is: Disabled
Note: Although CIS categorizes this as a L2 recommendation, if none of the cases listed in the Impact Section apply, we highly recommend disabling this service.
This service is primarily needed to support Web Proxy Auto-Discovery (WPAD), which is an auto-proxy discovery mechanism that could expose the computer to Man-In-The-Middle (MITM) attacks. If an organization depends on HTTP proxy configuration, it is recommended that other client configuration mechanisms be used instead, such as Group Policy.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WinHttpAutoProxySvc -StartupType Disabled
Impact:
WPAD will cease to function for automatic HTTP proxy routing, which may prevent Internet connectivity for workstations in organizations that currently use WPAD. Microsoft also cautions that some software that uses the network stack may have a functional dependency on this service, so it is advised that you test disabling this service on a representation of user workstations and applications before disabling it across the entire organization.
Beginning with Windows 10 Release 1709, Microsoft changed the WPAD service to tightly integrate it with all proxy activity. Disabling this service now has these additional impacts:
 - The ability to set a manual (not just auto) proxy configuration.
 - Some VPN clients require the WPAD service, so disabling WPAD breaks them.
 - Some network-related applications will not work without WPAD running (e.g. Fiddler).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</si>
  <si>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"4.11.7.1.1 (BL) Ensure 'Choose how BitLocker-protected fixed drives can be recovered' is set to 'Enabled': [PASSED]"
This policy setting allows you to control how BitLocker-protected fixed data drives are recovered in the absence of the required credentials. This policy setting is applied when you turn on BitLocker.
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
In 'Configure user storage of BitLocker recovery information' select whether users are allowed, required, or not allowed to generate a 48-digit recovery password or a 256-bit recovery key.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Select the 'Do not enable BitLocker until recovery information is stored in AD DS for fixed data drives' check box if you want to prevent users from enabling BitLocker unless the computer is connected to the domain and the backup of BitLocker recovery information to AD DS succeeds.
Note: If the 'Do not enable BitLocker until recovery information is stored in AD DS for fixed data drives' check box is selected, a recovery password is automatically generated.
The recommended state for this setting is: Enabled
Administrators should always have a safe, secure way to access encrypted data in the event users cannot access their data.
Additionally, as with any authentication method, a drive can be compromised by guessing or finding the authentication information used to access the drive.
Solution:
To establish the recommended configuration via configuration profiles, set the following Settings Catalog path to Enabled
Administrative Templates\Windows Components\BitLocker Drive Encryption\Fixed Data Drives\Choose how BitLocker-protected fixed drives can be recovered
Impact:
To use BitLocker, a Data Recovery Agent will need to be configured for fixed drives. To recover a drive will require highly-controlled access to the Data Recovery Agent private key.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</si>
  <si>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"81.25 (L2) Ensure 'SNMP Service (SNMP)' is set to 'Disabled' or 'Not Installed': [PASSED]"
Enables Simple Network Management Protocol (SNMP) requests to be processed by this computer.
The recommended state for this setting is: Disabled or Not Installed
Note: This service is not installed by default. It is supplied with Windows, but is installed by enabling an optional Windows feature (
Simple Network Management Protocol (SNMP)
).
Features that enable inbound network connections increase the attack surface. In a high security environment, management of secure workstations should be handled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SNMP -StartupType Disabled
Impact:
The computer will be unable to process SNMP requests.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NULL</t>
  </si>
  <si>
    <t>"22.24 (L2) Ensure 'Enable Convert Warn To Block' is set to 'Warn verdicts are converted to block': [PASSED]"
This policy setting controls whether Microsoft Defender Antivirus network protection will display a warning, or block network traffic.
The recommended state for this setting is: Warn verdicts are converted to block
Potentially suspicious network traffic should be blocked until it has been reviewed, and an exception has been granted.
Solution:
To establish the recommended configuration via configuration profiles, set the following Settings Catalog path to Warn verdicts are converted to block
Defender\Enable Convert Warn To Block
Impact:
Legitimate network traffic could be blocked by Microsoft Defender Antivirus network protection.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LEVEL|2A, NIAv2|GS8a, PCI-DSSv3.2.1|5.1, PCI-DSSv3.2.1|5.1.1, PCI-DSSv4.0|5.2.1, QCSC-v1|3.2, QCSC-v1|5.2.3, QCSC-v1|8.2.1, TBA-FIISB|49.2.1, TBA-FIISB|49.2.2, TBA-FIISB|49.3.1, TBA-FIISB|49.3.2, TBA-FIISB|50.2.1, TBA-FIISB|51.2.4, TBA-FIISB|51.2.7
Policy Value:
1
Actual Value:
1</t>
  </si>
  <si>
    <t>"4.10.20.1.1 (L2) Ensure 'Turn off access to the Store' is set to 'Enabled': [PASSED]"
This policy setting specifies whether to use the Store service for finding an application to open a file with an unhandled file type or protocol association. When a user opens a file type or protocol that is not associated with any applications on the computer, the user is given the choice to select a local application or use the Store service to find an application.
The recommended state for this setting is: Enabled
The Store service is a retail outlet built into Windows, primarily for consumer use. In an enterprise managed environment the IT department should be managing the installation of all applications to reduce the risk of the installation of vulnerable software.
Solution:
To establish the recommended configuration via configuration profiles, set the following Settings Catalog path to Enabled
Administrative Templates\System\Internet Communication Management\Internet Communication settings\Turn off access to the Store
Impact:
The 'Look for an app in the Store' item in the Open With dialog is removed.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1</t>
  </si>
  <si>
    <t>"81.31 (L2) Ensure 'Windows Event Collector (Wecsvc)' is set to 'Disabled': [PASSED]"
This service manages persistent subscriptions to events from remote sources that support WS-Management protocol. This includes Windows Vista event logs, hardware and IPMI-enabled event sources. The service stores forwarded events in a local Event Log.
The recommended state for this setting is: Disabled
In a high security environment, remote connections to secure workstations should be minimized, and management functions should be done locally.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Wecsvc -StartupType Disabled
Impact:
If this service is stopped or disabled event subscriptions cannot be created and forwarded events cannot be accepted.
Note: Many remote management tools and third-party security audit tools depend on this service.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</si>
  <si>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"4.11.54.1 (L2) Ensure 'Turn on PowerShell Script Block Logging' is set to 'Enabled': [PASSED]"
This policy setting enables logging of all PowerShell script input to the Applications and Services Logs\Microsoft\Windows\PowerShell\Operational Event Log channel.
The recommended state for this setting is: Enabled
Note: If logging of
Script Block Invocation Start/Stop Events
is enabled (option box checked), PowerShell will log additional events when invocation of a command, script block, function, or script starts or stops. Enabling this option generates a high volume of event logs. CIS has intentionally chosen not to make a recommendation for this option, since it generates a large volume of events. If an organization chooses to enable the optional setting (checked), this also conforms to the benchmark.
Logs of PowerShell script input can be very valuable when performing forensic investigations of PowerShell attack incidents to determine what occurred.
Solution:
To establish the recommended configuration via configuration profiles, set the following Settings Catalog path to Enabled
Administrative Templates\Windows Components\Windows PowerShell\Turn on PowerShell Script Block Logging
Impact:
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CSCv7|8.8, CSCv8|8.8, CSF|PR.PT-1, CSF2.0|PR.PS-04, GDPR|32.1.b, HIPAA|164.306(a)(1), HIPAA|164.312(b), ISO-27001-2022|A.8.15, ITSG-33|AU-2, LEVEL|2A, NESA|M1.2.2, NESA|M5.5.1, NIAv2|AM7, NIAv2|AM11a, NIAv2|AM11b, NIAv2|AM11c, NIAv2|AM11d, NIAv2|AM11e, NIAv2|SS30, NIAv2|VL8, QCSC-v1|8.2.1, QCSC-v1|13.2, SWIFT-CSCv1|6.4
Policy Value:
1
Actual Value:
1</t>
  </si>
  <si>
    <t>"4.11.7.2.14 (BL) Ensure 'Enforce drive encryption type on operating system drives: Select the encryption type: (Device)' is set to 'Enabled: Used Space Only encryption' or 'Enabled: Full encryption': [FAILED]"
This policy setting configures the encryption type (space only and whole) used by BitLocker Drive Encryption.
The recommended state for this setting is: Enabled: Used Space Only encryption or Enabled: Full encryption
Note: Changing the encryption type does not affect drives that are already encrypted or if encryption is in progress.
Note #2: If the option
full encryption
is selected, the entire drive be encrypted. If the option
used space only encryption
is selected, only the portion of the drive used to store data will be encrypted.
The type of encryption (used space only or full) used by BitLocker should be an organizational decision and not an end user decision.
Solution:
To establish the recommended configuration via configuration profiles, set the following Settings Catalog path to Used Space Only encryption or Full encryption
Administrative Templates\Windows Components\BitLocker Drive Encryption\Operating System Drives\Enforce drive encryption type on operating system drives: Select the encryption type: (Device)
Impact:
An organization will have to choose which method is used when BitLocker is enabled. The end user will not be able to choose the encryption type.
Note: This policy is ignored when shrinking or expanding a volume, and BitLocker uses the current encryption method. Example: When a drive uses
Space Only encryption
and is expanded, the new free space isn't wiped as it is for a drive that uses
Full encryption
.
See Also:
https://workbench.cisecurity.org/benchmarks/21719
Reference:
800-171|3.13.16, 800-171r3|03.13.08, 800-53|SC-28(1), 800-53r5|SC-28(1), CN-L3|8.1.4.7(b), CN-L3|8.1.4.8(b), CSF|PR.DS-1, CSF2.0|PR.DS-01, GDPR|32.1.a, GDPR|32.1.b, HIPAA|164.306(a)(1), HIPAA|164.312(a)(2)(iv), HIPAA|164.312(e)(2)(ii), ISO-27001-2022|A.5.33, ITSG-33|SC-28(1), LEVEL|BLA, PCI-DSSv3.2.1|3.4, PCI-DSSv4.0|3.3.2, PCI-DSSv4.0|3.5.1, QCSC-v1|5.2.2, QCSC-v1|6.2, TBA-FIISB|28.1
Policy Value:
1 || 2
Actual Value:
NULL</t>
  </si>
  <si>
    <t>"80.5 (L2) Ensure 'Disable One Drive File Sync' is set to 'Sync Disabled': [FAILED]"
This policy setting lets you prevent apps and features from working with files on OneDrive using the Next Generation Sync Client.
The recommended state for this setting is: Sync Disabled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
Solution:
To establish the recommended configuration via configuration profiles, set the following Settings Catalog path to Sync Disabled :
System\Disable One Drive File Sync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Microsoft 365, be aware that this setting will prevent users from saving files to OneDrive/SkyDrive.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
See Also:
https://workbench.cisecurity.org/benchmarks/21719
Reference:
800-171|3.4.2, 800-171|3.4.6, 800-171|3.4.7, 800-171r3|03.04.02, 800-171r3|03.04.06, 800-53|CM-6, 800-53|CM-7, 800-53r5|CM-6, 800-53r5|CM-7, CSCv7|13.4, CSCv8|4.8, CSF|PR.IP-1, CSF|PR.PT-3, CSF2.0|DE.CM-09, CSF2.0|PR.PS-01, GDPR|32.1.b, HIPAA|164.306(a)(1), ISO-27001-2022|A.8.9, ITSG-33|CM-6, ITSG-33|CM-7, LEVEL|2A, NIAv2|SS15a, PCI-DSSv3.2.1|2.2.2, SWIFT-CSCv1|2.3
Policy Value:
1
Actual Value:
0</t>
  </si>
  <si>
    <t>"4.10.9.1.1 (BL) Ensure 'Prevent installation of devices using drivers that match these device setup classes' is set to 'Enabled':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Administrative Templates\System\Device Installation\Device Installation Restrictions\Prevent installation of devices using drivers that match these device setup classes
Impact:
Devices matching the specified device setup classes will be prevented from installation.
See Also:
https://workbench.cisecurity.org/benchmarks/21719
Reference:
800-171|3.8.7, 800-171r3|03.08.07, 800-53|MP-7, 800-53r5|MP-7, CN-L3|8.5.4.1(c), CSF|PR.PT-2, GDPR|32.1.b, HIPAA|164.306(a)(1), HIPAA|164.312(a)(1), ISO-27001-2022|A.5.10, ISO-27001-2022|A.7.10, ISO/IEC-27001|A.8.3.1, ISO/IEC-27001|A.8.3.3, LEVEL|BLA, NESA|T1.4.1
Policy Value:
1
Actual Value:
NULL</t>
  </si>
  <si>
    <t>"4.11.7.2.11 (BL) Ensure 'Require additional authentication at startup: Configure TPM startup key:' is set to 'Enabled: Do not allow startup key with TPM': [PASSED]"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Note #2: If you want to require the use of a startup PIN and a USB flash drive, you must configure BitLocker settings using the command-line tool manage-bde instead of the BitLocker Drive Encryption setup wizard.
The recommended state for this setting is: Enabled: Do not allow startup key with TPM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startup key with TPM
Administrative Templates\Windows Components\BitLocker Drive Encryption\Operating System Drives\Require additional authentication at startup: Configure TPM startup key:
Impact:
A TPM and a startup key will not be a permitted combination for BitLocker authentication.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0</t>
  </si>
  <si>
    <t>"34.3 (L2) Ensure 'Allow Windows Spotlight (User)' is set to 'Block': [PASSED]"
This policy setting determines whether the all Windows Spotlight features are turned on/off (together).
The recommended state for this setting is: Block
Note:
Per Microsoft TechNet
, this policy setting only applies to Windows 10 Enterprise and Windows 10 Education editions.
Note #2: Setting this recommendation to Block also disables the Recommendation Allow Tailored Experiences With Diagnostic Data which was is included in the on-prem Workstation Benchmarks. It was not included in the Intune version since this setting is automatically disabled.
Disabling this setting will help ensure your data is not shared with any third party. The Windows Spotlight feature collects data and uses that data to display suggested apps as well as images from the internet.
Solution:
To establish the recommended configuration via configuration profiles, set the following Settings Catalog path to Block :
Experience\Allow Windows Spotlight (User)
Impact:
Windows Spotlight on lock screen, Windows tips, Microsoft consumer features and other related features will be turned off.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Compliant items:</t>
  </si>
  <si>
    <t>"4.11.7.3.2 (BL) Ensure 'Deny write access to removable drives not protected by BitLocker: Do not allow write access to devices configured in another organization' is set to 'Enabled: False': [PASSED]"
This policy setting configures whether the computer will be able to write data to BitLocker-protected removable drives that were configured in another organization.
The recommended state for this setting is: Enabled: False
Restricting write access to BitLocker-protected removable drives that were configured in another organization can hinder legitimate business operations where encrypted data sharing is necessary.
Solution:
To establish the recommended configuration via configuration profiles, set the following Settings Catalog path to Enabled: False
Administrative Templates\Windows Components\BitLocker Drive Encryption\Removable Data Drives\Deny write access to removable drives not protected by BitLocker: Do not allow write access to devices configured in another organization
Impact:
None - this is the default behavior.
See Also:
https://workbench.cisecurity.org/benchmarks/21719
Reference:
800-171|3.8.5, 800-171|3.8.7, 800-171r3|03.08.05, 800-171r3|03.08.07, 800-53|MP-5, 800-53|MP-7, 800-53r5|MP-7, CN-L3|8.5.4.1(c), CSCv7|13.6, CSCv7|13.8, CSCv8|3.9, CSF|PR.PT-2, GDPR|32.1.b, HIPAA|164.306(a)(1), HIPAA|164.312(a)(1), ISO-27001-2022|A.5.10, ISO-27001-2022|A.7.9, ISO-27001-2022|A.7.10, ISO/IEC-27001|A.8.3.1, ISO/IEC-27001|A.8.3.3, ITSG-33|MP-5, LEVEL|BLA, NESA|T1.4.1
Policy Value:
0
Actual Value:
0</t>
  </si>
  <si>
    <t>"81.5 (L2) Ensure 'GameInput Service (GameInputSvc)' is set to 'Disabled': [PASSED]"
This service enables the use of keyboards, mice, gamepads, and other input devices to be used with the GameInput API.
The recommended state for this setting is: Disabled
Note: GameInput service runs as LocalSystem in its own process of GameInputSvc.exe and doesn't share its process with other services.
GameInput API pipes input from keyboards, mice, gamepads, and other game controllers via Direct Memory Access (DMA) to decrease latency for gaming performance. This DMA use increases the risk of input data (especially keystrokes) being captured by a malicious attacker.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GameInputSvc -StartupType Disabled
Impact:
Input devices will not be able to utilize the GameInput API.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</si>
  <si>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"4.11.36.4.10.1 (L2) Ensure 'Set time limit for active but idle Remote Desktop Services sessions' is set to 'Enabled: 15 minutes or less, but not Never (0)': [PASSED]"
This policy setting allows you to specify the maximum amount of time that an active Remote Desktop Services session can be idle (without user input) before it is automatically disconnected.
The recommended state for this setting is: Enabled: 15 minutes or less, but not Never (0)
This setting helps to prevent active Remote Desktop sessions from tying up the computer for long periods of time while not in use, preventing computing resources from being consumed by large numbers of inactive sessions. In addition, old, forgotten Remote Desktop sessions that are still active can cause password lockouts if the user's password has changed but the old session is still running. For systems that limit the number of connected users (e.g. servers in the default Administrative mode - 2 sessions only), other users' old but still active sessions can prevent another user from connecting, resulting in an effective denial of service.
In addition, session timeouts that are misconfigured or set for a long period of time can leave the system open to an attacker hijacking the session.
Solution:
To establish the recommended configuration via configuration profiles, set the following Settings Catalog path to Enabled: 15 minutes or less, but not Never (0)
Administrative Templates\Windows Components\Remote Desktop Services\Remote Desktop Session Host\Session Time Limits\Set time limit for active but idle Remote Desktop Services sessions
Impact:
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[1..900000]
Actual Value:
900000</t>
  </si>
  <si>
    <t>"74.1 (L2) Ensure 'Allow Online Tips' is set to 'Block': [PASSED]"
This policy setting configures the retrieval of online tips and help for the Settings app.
The recommended state for this setting is: Block
Due to privacy concerns, data should never be sent to any third-party since this data could contain sensitive information.
Solution:
To establish the recommended configuration via configuration profiles, set the following Settings Catalog path to Block
Settings\Allow Online Tips
Impact:
Settings will not contact Microsoft content services to retrieve tips and help content.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</si>
  <si>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"4.11.49.1 (L2) Ensure 'Prevent Internet Explorer security prompt for Windows Installer scripts' is set to 'Disabled': [PASSED]"
This policy setting controls whether Web-based programs are allowed to install software on the computer without notifying the user.
The recommended state for this setting is: Disabled
Suppressing the system warning can pose a security risk and increase the attack surface on the system.
Solution:
To establish the recommended configuration via configuration profiles, set the following Settings Catalog path to Disabled
Administrative Templates\Windows Components\Windows Installer\Prevent Internet Explorer security prompt for Windows Installer scripts
Impact:
None - this is the default behavior.
See Also:
https://workbench.cisecurity.org/benchmarks/21719
Reference:
800-171|3.4.8, 800-171r3|03.04.08, 800-53|CM-7(5), 800-53|CM-10, 800-53r5|CM-7(5), 800-53r5|CM-10, CSCv8|2.5, CSF|DE.CM-3, CSF|PR.IP-1, CSF|PR.PT-3, CSF2.0|DE.CM-03, CSF2.0|DE.CM-09, CSF2.0|PR.PS-01, GDPR|32.1.b, HIPAA|164.306(a)(1), ISO-27001-2022|A.5.32, ISO-27001-2022|A.8.19, ISO/IEC-27001|A.12.5.1, ISO/IEC-27001|A.12.6.2, ITSG-33|CM-7, LEVEL|2A, NIAv2|SS15a, PCI-DSSv3.2.1|2.2.2, QCSC-v1|3.2, QCSC-v1|8.2.1, SWIFT-CSCv1|2.3, TBA-FIISB|44.2.2, TBA-FIISB|49.2.3
Policy Value:
0
Actual Value:
0</t>
  </si>
  <si>
    <t>"47.1 (L2) Ensure 'Disallow KMS Client Online AVS Validation' is set to 'Allow': [PASSED]"
The Key Management Service (KMS) is a Microsoft license activation method that entails setting up a local server to store the software licenses. The KMS server itself needs to connect to Microsoft to activate the KMS service, but subsequent on-network clients can activate Microsoft Windows OS and/or their Microsoft Office via the KMS server instead of connecting directly to Microsoft. This policy setting lets you opt-out of sending KMS client activation data to Microsoft automatically.
The recommended state for this setting is: Allow
Even though the KMS licensing method does not
require
KMS clients to connect to Microsoft, they still send KMS client activation state data to Microsoft automatically. Preventing this information from being sent can help reduce privacy concerns in high security environments.
Solution:
To establish the recommended configuration via configuration profiles, set the following Settings Catalog path to Allow :
Licensing\Disallow KMS Client Online AVS Validation
Impact:
The computer is prevented from sending data to Microsoft regarding its KMS client activation state.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1
Actual Value:
1</t>
  </si>
  <si>
    <t>"81.2 (L2) Ensure 'Bluetooth Support Service (bthserv)' is set to 'Disabled': [FAILED]"
The Bluetooth service supports discovery and association of remote Bluetooth devices.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bthserv -StartupType Disabled
Impact:
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</si>
  <si>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"4.11.56.1 (L2) Ensure 'Allow Remote Shell Access' is set to 'Disabled': [PASSED]"
This policy setting allows you to manage configuration of remote access to all supported shells to execute scripts and commands.
The recommended state for this setting is: Disabled
Note: The GPME help text for this setting is incorrectly worded, implying that configuring it to Enabled will reject new Remote Shell connections, and setting it to Disabled will allow Remote Shell connections. The opposite is true (and is consistent with the title of the setting). This is a wording mistake by Microsoft in the Administrative Template.
Any feature is a potential avenue of attack, those that enable inbound network connections are particularly risky. Only enable the use of the Windows Remote Shell on trusted networks and when feasible employ additional controls such as IPsec.
Solution:
To establish the recommended configuration via configuration profiles, set the following Settings Catalog path to Disabled
Administrative Templates\Windows Components\Windows Remote Shell\Allow Remote Shell Access
Impact:
New Remote Shell connections are not allowed and are rejected by the workstation.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</si>
  <si>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"4.11.7.1.7 (BL) Ensure 'Choose how BitLocker-protected fixed drives can be recovered: Omit recovery options from the BitLocker setup wizard' is set to 'Enabled: True': [PASSED]"
This policy setting allows you to control how BitLocker-protected fixed data drives are recovered in the absence of the required credentials.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True
Administrative Templates\Windows Components\BitLocker Drive Encryption\Fixed Data Drives\Choose how BitLocker-protected fixed drives can be recovered: Omit recovery options from the BitLocker setup wizard
Impact:
The ability to manually select recovery options for fixed drives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</si>
  <si>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"81.34 (L2) Ensure 'Windows Push Notifications System Service (WpnService)' is set to 'Disabled': [FAILED]"
This service runs in session 0 and hosts the notification platform and connection provider which handles the connection between the device and WNS server.
The recommended state for this setting is: Disabled
Note: In the first two releases of Windows 10 (R1507 &amp; R1511), the display name of this service was initially named
Windows Push Notifications Service
- but it was renamed to
Windows Push Notifications System Service
starting with Windows 10 R1607.
Windows Push Notification Services (WNS) is a mechanism to receive third-party notifications and updates from the cloud/Internet. In a high security environment, external systems, especially those hosted outside the organization, should be prevented from having an impact on the secure workstations.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WpnService -StartupType Disabled
Impact:
Live Tiles and other features will not get live updates.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2</t>
  </si>
  <si>
    <t>"4.10.9.1.2 (BL) Ensure 'Prevent installation of devices using drivers that match these device setup classes: Also apply to matching devices that are already installed.' is set to 'True' (checked): [FAILED]"
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an attacker may be able to perform DMA attacks.
This issue is documented in Microsoft Knowledge Base article 2516445:
Blocking the SBP-2 driver and Thunderbolt controllers to reduce 1394 DMA and Thunderbolt DMA threats to BitLocker
.
Solution:
To establish the recommended configuration via configuration profiles, set the following Settings Catalog path to Enabled and check the Also apply to matching devices that are already installed. button.
Administrative Templates\System\Device Installation\Device Installation Restrictions\Prevent installation of devices using drivers that match these device setup classes
Impact:
Existing devices (that match the device setup classes specified) that were previously installed prior to the hardening will be disabled or removed.
See Also:
https://workbench.cisecurity.org/benchmarks/21719
Reference:
800-53|SI-16, 800-53r5|SI-16, CSCv8|10.5, CSF2.0|PR.DS-10, GDPR|32.1.b, HIPAA|164.306(a)(1), ITSG-33|SI-16, LEVEL|BLA
Policy Value:
1
Actual Value:
NULL</t>
  </si>
  <si>
    <t>"4.11.7.2.6 (BL) Ensure 'Choose how BitLocker-protected operating system drives can be recovered: Do not enable BitLocker until recovery information is stored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
Note: If the 'Do not enable BitLocker until recovery information is stored in AD DS for operating system drives' check box is selected, a recovery password is automatically generated.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Users will need to be domain connected and the back up of BitLocker recovery information for the operating system drive must succeed in order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</si>
  <si>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"4.11.7.2.7 (BL) Ensure 'Choose how BitLocker-protected operating system drives can be recovered: Omit recovery options from the BitLocker setup wizard' is set to 'Enabled: True': [PASSED]"
This policy setting allows you to control how BitLocker-protected operating system drives are recovered in the absence of the required startup key information. This policy setting is applied when you turn on BitLocker.
Select 'Omit recovery options from the BitLocker setup wizard' to prevent users from specifying recovery options when they enable BitLocker on a drive. This means that you will not be able to specify which recovery option to use when you enable BitLocker, instead BitLocker recovery options for the drive are determined by the policy setting.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Omit recovery options from the BitLocker setup wizard
Impact:
The ability to manually select recovery options for the operating drive will not be presented to the user in the BitLocker setup wizard.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</si>
  <si>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"4.10.25.1 (L2) Ensure 'Disallow copying of user input methods to the system account for sign-in' is set to 'Enabled': [PASSED]"
This policy prevents automatic copying of user input methods to the system account for use on the sign-in screen. The user is restricted to the set of input methods that are enabled in the system account.
The recommended state for this setting is: Enabled
This is a way to increase the security of the system account.
Solution:
To establish the recommended configuration via configuration profiles, set the following Settings Catalog path to Enabled
Administrative Templates\System\Locale Services\Disallow copying of user input methods to the system account for sign-in
Impact:
Users will have input methods enabled for the system account on the sign-in page.
See Also:
https://workbench.cisecurity.org/benchmarks/21719
Reference:
800-171|3.1.10, 800-171r3|03.01.10, 800-53|AC-11, 800-53r5|AC-11, CN-L3|8.1.4.1(b), CSCv7|16.11, GDPR|32.1.b, HIPAA|164.306(a)(1), HIPAA|164.312(a)(2)(iii), ISO-27001-2022|A.7.7, ISO-27001-2022|A.8.1, ISO/IEC-27001|A.11.2.8, ITSG-33|AC-11, LEVEL|2A, NIAv2|AM23c, NIAv2|AM23d, PCI-DSSv3.2.1|8.1.8, PCI-DSSv4.0|8.2.8
Policy Value:
1
Actual Value:
1</t>
  </si>
  <si>
    <t>"89.16 (L1) Ensure 'Deny Log On As Service Job' to include 'Guests': [PASSED]"
This security setting determines which service accounts are prevented from registering a process as a service. This user right supersedes the Log on as a service user right if an account is subject to both policies.
The recommended state for this setting is to include: *S-1-5-32-546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configuration profiles, set the following Settings Catalog path to *S-1-5-32-546 (Guests).
User Rights\Deny Log On As Service Job
Impact:
If you assign the Deny log on as a service user right to specific accounts, services may not be able to start and a DoS condition could result.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</si>
  <si>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"4.11.36.4.9.4 (L1) Ensure 'Require user authentication for remote connections by using Network Level Authentication' is set to 'Enabled': [PASSED]"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configuration profiles, set the following Settings Catalog path to Enabled
Administrative Templates\Windows Components\Remote Desktop Services\Remote Desktop Session Host\Security\Require user authentication for remote connections by using Network Level Authentication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</si>
  <si>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"4.11.7.4 (BL) Ensure 'Choose drive encryption method and cipher strength (Windows 10 [Version 1511] and later): Select the encryption method for fixed data drives' is set to 'XTS-AES 128-bit (default)' or 'XTS-AES 256-bit': [PASSED]"
This policy setting determines which encryption method should be used for fixed data drives.
The recommended state for this setting is: XTS-AES 128-bit (default) or XTS-AES 256-bit
Enforcing the default value of XTS-AES 128-bit (default) or higher helps ensure that a weaker cipher is not used to protect data on fixed data drives.
Solution:
To establish the recommended configuration via configuration profiles, set the following Settings Catalog path to XTS-AES 128-bit (default) or XTS-AES 256-bit
Administrative Templates\Windows Components\BitLocker Drive Encryption\Choose drive encryption method and cipher strength (Windows 10 [Version 1511] and later)\Select the encryption method for fixed data drives
Impact:
None - this setting enforces the default value or higher.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6 || 7
Actual Value:
6</t>
  </si>
  <si>
    <t>"81.16 (L2) Ensure 'Remote Access Auto Connection Manager (RasAuto)' is set to 'Disabled': [PASSED]"
Creates a connection to a remote network whenever a program references a remote DNS or NetBIOS name or address.
The recommended state for this setting is: Disabled
The function of this service is to provide a 'demand dial' type of functionality. In a high security environment, it is preferred that any remote 'dial' connections (whether they be legacy dial-in POTS or VPN) are initiated by the user
not
automatically by the system.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RasAuto -StartupType Disabled
Impact:
'Dial on demand' functionality will no longer operate - remote dial-in (POTS) and VPN connections must be initiated manually by the user.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</si>
  <si>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"72.1 (L2) Ensure 'Allow Cloud Search' is set to 'Not allowed': [PASSED]"
This policy setting allows search and Cortana to search cloud sources like OneDrive and SharePoint.
The recommended state for this setting is: Not allowed
Due to privacy concerns, data should never be sent to any third-party since this data could contain sensitive information.
Solution:
To establish the recommended configuration via configuration profiles, set the following Settings Catalog path to Not allowed :
Search\Allow Cloud Search
Impact:
Search and Cortana will not be permitted to search cloud sources like OneDrive and SharePoint.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</si>
  <si>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"4.10.20.1.3 (L2) Ensure 'Turn off Help Experience Improvement Program (User)' is set to 'Enabled': [PASSED]"
This policy setting specifies whether users can participate in the Help Experience Improvement program. The Help Experience Improvement program collects information about how customers use Windows Help so that Microsoft can improve it.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Help Experience Improvement Program
Impact:
Users cannot participate in the Help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1
Actual Value:
Compliant items:</t>
  </si>
  <si>
    <t>"4.5.8 (L2) Ensure 'MSS: (PerformRouterDiscovery) Allow IRDP to detect and configure Default Gateway addresses (could lead to DoS)' is set to 'Disabled': [PASSED]"
This setting is used to enable or disable the Internet Router Discovery Protocol (IRDP), which allows the system to detect and configure default gateway addresses automatically as described in RFC 1256 on a per-interface basis.
The recommended state for this setting is: Disabled
An attacker who has gained control of a computer on the same network segment could configure a computer on the network to impersonate a router. Other computers with IRDP enabled would then attempt to route their traffic through the already compromised computer.
Solution:
To establish the recommended configuration via configuration profiles, set the following Settings Catalog path to Disabled
Administrative Templates\MSS (Legacy)\MSS: (PerformRouterDiscovery) Allow IRDP to detect and configure Default Gateway addresses (could lead to DoS)
Impact:
Windows will not automatically detect and configure default gateway addresses on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</si>
  <si>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"4.5.11 (L2) Ensure 'MSS: (TcpMaxDataRetransmissions IPv6) How many times unacknowledged data is retransmitted' is set to 'Enabled: 3': [PASSED]"
This setting controls the number of times that TCP retransmits an individual data segment (non-connect segment) before the connection is aborted. The retransmission time-out is doubled with each successive retransmission on a connection. It is reset when responses resume. The base time-out value is dynamically determined by the measured round-trip time on the connection.
The recommended state for this setting is: Enabled: 3
A malicious user could exhaust a target computer's resources if it never sent any acknowledgment messages for data that was transmitted by the target computer.
Solution:
To establish the recommended configuration via configuration profiles, set the following Settings Catalog path to Enabled: 3
Administrative Templates\MSS (Legacy)\MSS:(TcpMaxDataRetransmissions IPv6) How many times unacknowledged data is retransmitted
Impact:
TCP starts a retransmission timer when each outbound segment is passed to the IP. If no acknowledgment is received for the data in a given segment before the timer expires, then the segment is retransmitted up to three times.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LEVEL|2A, NESA|T1.2.1, NESA|T1.2.2, NESA|T3.2.5, NESA|T5.4.2, NESA|T7.5.1, NESA|T7.5.3, NESA|T7.6.1, NESA|T7.6.2, NESA|T7.6.3, NIAv2|NS33, NIAv2|NS34, NIAv2|NS38, NIAv2|SS15a, NIAv2|SS16, PCI-DSSv3.2.1|2.2.2, QCSC-v1|3.2, QCSC-v1|5.2.1, QCSC-v1|5.2.2, SWIFT-CSCv1|2.3
Policy Value:
3
Actual Value:
3</t>
  </si>
  <si>
    <t>"4.11.36.4.3.5 (L2) Ensure 'Restrict clipboard transfer from server to client' is set to 'Enabled: Disable clipboard transfers from server to client': [FAILED]"
This policy setting controls whether the clipboard can be used to transfer data from the Remote Desktop session to the client.
The recommended state for this setting is: Enabled: Disable clipboard transfers from server to client
In a more security-sensitive environment, it is desirable to reduce the possible attack surface. The need for the clipboard to transfer data from a Remote Desktop session to a client is rare, so it makes sense to reduce the number of unexpected avenues for malicious activity to occur.
Solution:
To establish the recommended configuration via configuration profiles, set the following Settings Catalog path to Enabled: Disable clipboard transfers from server to client
Administrative Templates\Windows Components\Remote Desktop Session Host\Device and Resource Redirection\Restrict clipboard transfer from server to client
Impact:
Users will not be able to transfer clipboard data from the Remote Desktop session to the client.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NULL</t>
  </si>
  <si>
    <t>"4.11.55.2.2 (L2) Ensure 'Allow remote server management through WinRM' is set to 'Disabled': [PASSED]"
This policy setting allows you to manage whether the Windows Remote Management (WinRM) service automatically listens on the network for requests on the HTTP transport over the default HTTP port.
The recommended state for this setting is: Disabled
Any feature is a potential avenue of attack, those that enable inbound network connections are particularly risky. Only enable the use of the Windows Remote Management (WinRM) service on trusted networks and when feasible employ additional controls such as IPsec.
Solution:
To establish the recommended configuration via configuration profiles, set the following Settings Catalog path to Disabled
Administrative Templates\Windows Components\Windows Remote Management (WinRM)\WinRM Service\Allow remote server management through WinRM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</si>
  <si>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"81.21 (L2) Ensure 'Remote Registry (RemoteRegistry)' is set to 'Disabled': [PASSED]"
Enables remote users to view and modify registry settings on this computer.
The recommended state for this setting is: Disabled
In a high security environment, exposing the registry to remote access is an increased security risk.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RemoteRegistry -StartupType Disabled
Impact:
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4</t>
  </si>
  <si>
    <t>"4.11.7.2.13 (BL) Ensure 'Require additional authentication at startup: Configure TPM startup:' is set to 'Enabled: Do not allow TPM': [FAILED]"
This policy setting allows you to configure whether BitLocker requires additional authentication each time the computer starts. This policy setting is applied when you turn on BitLocker.
Note: Only one of the additional authentication options can be
required
at startup, otherwise a policy error occurs.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The recommended state for this setting is: Enabled: Do not allow TPM
Warning: If silent encryption is desired, this setting must be configured to Require TPM and an exception to this recommendation will be needed. Please also see recommendation
'Require additional authentication at startup: Configure TPM startup PIN:' is set to 'Enabled: Require startup PIN with TPM'
for needed configuration change for silent encryption.
TPM without use of a PIN will only validate early boot components and does not require a user to enter any additional authentication information. If a computer is lost or stolen in this configuration, BitLocker will not provide any additional measure of protection beyond what is provided by native Windows authentication unless the early boot components are tampered with or the encrypted drive is removed from the machine.
Solution:
To establish the recommended configuration via configuration profiles, set the following Settings Catalog path to Enabled: Do not allow TPM
Administrative Templates\Windows Components\BitLocker Drive Encryption\Operating System Drives\Require additional authentication at startup: Configure TPM startup:
Impact:
A TPM alone will be insufficient authentication for use with BitLocker.
See Also:
https://workbench.cisecurity.org/benchmarks/21719
Reference:
800-171|3.1.19, 800-171r3|03.01.18c., 800-53|AC-19(5), 800-53r5|AC-19(5), CSCv7|13.6, CSF|PR.AC-3, CSF2.0|PR.AA-05, GDPR|32.1.b, HIPAA|164.306(a)(1), ISO-27001-2022|A.5.14, ISO-27001-2022|A.7.9, ISO-27001-2022|A.8.1, ISO/IEC-27001|A.6.2.1, ITSG-33|AC-19, LEVEL|BLA, NIAv2|OS5, QCSC-v1|3.2, QCSC-v1|5.2.2, QCSC-v1|13.2
Policy Value:
0
Actual Value:
1</t>
  </si>
  <si>
    <t>"4.11.7.1.3 (BL) Ensure 'Choose how BitLocker-protected fixed drives can be recovered: Recovery Password' is set to 'Enabled: Allow 48-digit recovery password': [PASSED]"
This policy setting allows you to control how BitLocker-protected fixed data drives are recovered in the absence of the required credentials.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Allow 48-digit recovery password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Allow 48-digit recovery password
Administrative Templates\Windows Components\BitLocker Drive Encryption\Fixed Data Drives\Choose how BitLocker-protected fixed drives can be recovered: Recovery Password
Impact:
A 48-digit recovery password will be permitted for fixed drives.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2
Actual Value:
2</t>
  </si>
  <si>
    <t>"4.11.7.1.5 (BL) Ensure 'Choose how BitLocker-protected fixed drives can be recovered: Configure storage of BitLocker recovery information to AD DS' is set to 'Enabled: Backup recovery passwords and key packages': [PASSED]"
This policy setting allows you to control how BitLocker-protected fixed data drives are recovered in the absence of the required credentials. This policy setting is applied when you turn on BitLocker.
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Backup recovery passwords and key packages
Administrators should always have a safe, secure way to access encrypted data in the event users cannot access their data.
Additionally, as with any authentication method, a drive can be compromised by guessing or finding the authentication information used to access the drive.
To use BitLocker, a Data Recovery Agent will need to be configured for fixed drives. To recover a drive will require highly-controlled access to the Data Recovery Agent private key.
Solution:
To establish the recommended configuration via configuration profiles, set the following Settings Catalog path to Enabled: Backup recovery passwords and key packages
Administrative Templates\Windows Components\BitLocker Drive Encryption\Fixed Data Drives\Choose how BitLocker-protected fixed drives can be recovered: Configure storage of BitLocker recovery information to AD DS:
Impact:
None - this value is ignored when the checkbox above it (
Save BitLocker recovery information to AD DS for fixed data drives
) is False (unchecked). If that checkbox is set to True (checked), both recovery passwords and key packages for fixed drives will be saved to AD DS.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</si>
  <si>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"98.1 (L2) Ensure 'Allow suggested apps in Windows Ink Workspace' is set to 'Block': [PASSED]"
This policy setting determines whether suggested apps in Windows Ink Workspace are allowed.
The recommended state for this setting is: Block
This Microsoft feature is designed to collect data and suggest apps based on that data collected. Disabling this setting will help ensure your data is not shared with any third party.
Solution:
To establish the recommended configuration via configuration profiles, set the following Settings Catalog path to Block
Windows Ink Workspace\Allow suggested apps in Windows Ink Workspace
Impact:
The suggested apps in Windows Ink Workspace will not be allowed.
See Also:
https://workbench.cisecurity.org/benchmarks/21719
Reference:
800-171|3.4.6, 800-171|3.4.7, 800-171r3|03.04.06b., 800-53|CM-7b., 800-53r5|CM-7b., CN-L3|7.1.3.5(c), CN-L3|7.1.3.7(d), CN-L3|8.1.4.4(b), CSCv7|9.2, CSF|PR.IP-1, CSF|PR.PT-3, CSF2.0|PR.PS-01, GDPR|32.1.b, HIPAA|164.306(a)(1), ITSG-33|CM-7a., LEVEL|2A, NIAv2|SS13b, NIAv2|SS14a, NIAv2|SS14c, PCI-DSSv3.2.1|2.2.2, PCI-DSSv4.0|2.2.4, QCSC-v1|3.2, SWIFT-CSCv1|2.3
Policy Value:
0
Actual Value:
0</t>
  </si>
  <si>
    <t>"4.11.7.2.2 (BL) Ensure 'Choose how BitLocker-protected operating system drives can be recovered: Recovery Key' is set to 'Enabled: Do not allow 256-bit recovery key': [PASSED]"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Do not allow 256-bit recovery key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Do not allow 256-bit recovery key
Administrative Templates\Windows Components\BitLocker Drive Encryption\Operating System Drives\Choose how BitLocker-protected operating system drives can be recovered: Recovery Key
Impact:
A 256-bit recovery key will not be permitted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0
Actual Value:
0</t>
  </si>
  <si>
    <t>"26.2 (L1) Ensure 'Device Password Enabled: Alphanumeric Device Password Required' is set to 'Password or Alphanumeric PIN required': [FAILED]"
This policy setting determines the type of PIN or password this is required on a system.
The recommended state for this setting is: Password or Alphanumeric PIN required
Note: This policy only applies if the DevicePasswordEnabled policy is set to 1 This is a pre-requisite for
Alphanumeric Device Password Required
in the settings catalog.
This is a pre-requisite for
Min Device Password Complex Characters
, which enforces a more complex local user and Microsoft account passwords.
Note: This setting has no impact on Entra ID accounts.
Solution:
To establish the recommended configuration via configuration profiles, set the following Settings Catalog path to Password or Alphanumeric PIN required :
Device Lock\Device Password Enabled: Alphanumeric Device Password Required
Impact:
If an organization is using Windows Hello for Business then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1
Actual Value:
0</t>
  </si>
  <si>
    <t>"4.10.20.1.11 (L2) Ensure 'Turn off the Windows Messenger Customer Experience Improvement Program' is set to 'Enabled': [PASSED]"
This policy setting specifies whether the Windows Customer Experience Improvement Program can collect anonymous information about how Windows is used.
Microsoft uses information collected through the Windows Customer Experience Improvement Program to improve features that are most used and to detect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the Windows Messenger Customer Experience Improvement Program
Impact:
Windows Messenger will not collect usage information, and the user settings to enable the collection of usage information will not be shown.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2
Actual Value:
2</t>
  </si>
  <si>
    <t>"4.11.7.2.3 (BL) Ensure 'Choose how BitLocker-protected operating system drives can be recovered: Recovery Password' is set to 'Enabled: Require 48-digit recovery password': [FAILED]"
This policy setting allows you to control how BitLocker-protected operating system drives are recovered in the absence of the required startup key information. This policy setting is applied when you turn on BitLocker.
In 'Configure user storage of BitLocker recovery information' select whether users are allowed, required, or not allowed to generate a 48-digit recovery password or a 256-bit recovery key.
The recommended state for this setting is: Enabled: Require 48-digit recovery password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Require 48-digit recovery password
Administrative Templates\Windows Components\BitLocker Drive Encryption\Operating System Drives\Choose how BitLocker-protected operating system drives can be recovered: Recovery Password
Impact:
A 48-digit recovery password will be required for the operating system drive.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2</t>
  </si>
  <si>
    <t>"4.10.20.1.12 (L2) Ensure 'Turn off Windows Customer Experience Improvement Program' is set to 'Enabled': [PASSED]"
This policy setting specifies whether Windows Messenger can collect anonymous information about how the Windows Messenger software and service is used.
Microsoft uses information collected through the Windows Customer Experience Improvement Program to detect software flaws so that they can be corrected more quickly, enabling this setting will reduce the amount of data Microsoft is able to gather for this purpose. The recommended state for this setting is: Enabled
Large enterprise managed environments may not want to have information collected by Microsoft from managed client computers.
Solution:
To establish the recommended configuration via configuration profiles, set the following Settings Catalog path to Enabled
Administrative Templates\System\Internet Communication Management\Internet Communication settings\Turn off Windows Customer Experience Improvement Program
Impact:
All users are opted out of the Windows Customer Experience Improvement Program.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0
Actual Value:
0</t>
  </si>
  <si>
    <t>"12.1 (L2) Ensure 'Allow Camera' is set to 'Not allowed': [FAILED]"
This policy setting controls whether the use of Camera devices on the machine are permitted.
The recommended state for this setting is: Not allowed
Cameras in a high security environment can pose serious privacy and data exfiltration risks - they should be disabled to help mitigate that risk.
Solution:
To establish the recommended configuration via configuration profiles, set the following Settings Catalog path to Not allowed :
Camera\Allow Camera
Impact:
Users will not be able to utilize the camera on a system.
See Also:
https://workbench.cisecurity.org/benchmarks/21719
Reference:
800-171|3.4.2, 800-171|3.4.6, 800-171|3.4.7, 800-171r3|03.04.02, 800-171r3|03.04.06, 800-53|CM-6, 800-53|CM-7, 800-53r5|CM-6, 800-53r5|CM-7, CSCv8|4.8, CSF|PR.IP-1, CSF|PR.PT-3, CSF2.0|DE.CM-09, CSF2.0|PR.PS-01, GDPR|32.1.b, HIPAA|164.306(a)(1), ISO-27001-2022|A.8.9, ITSG-33|CM-6, ITSG-33|CM-7, LEVEL|2A, NIAv2|SS15a, PCI-DSSv3.2.1|2.2.2, SWIFT-CSCv1|2.3
Policy Value:
0
Actual Value:
1</t>
  </si>
  <si>
    <t>"4.11.42.2 (L2) Ensure 'Turn off the Store application' is set to 'Enabled': [FAILED]"
This setting denies or allows access to the Store application.
The recommended state for this setting is: Enabled
Note:
Per Microsoft TechNet
and
MSKB 3135657
, this policy setting does not apply to any Windows 10 editions other than Enterprise and Education.
Only applications approved by an IT department should be installed. Allowing users to install third-party applications can lead to missed patches and potential zero day vulnerabilities.
Solution:
To establish the recommended configuration via configuration profiles, set the following Settings Catalog path to Enabled
Administrative Templates\Windows Components\Store\Turn off the Store application
Impact:
Access to the Microsoft Store application is denied.
See Also:
https://workbench.cisecurity.org/benchmarks/21719
Reference:
800-171|3.4.8, 800-171r3|03.04.08, 800-53|CM-7(5), 800-53|CM-10, 800-53r5|CM-7(5), 800-53r5|CM-10, CSCv7|9.2, CSCv8|2.5, CSF|DE.CM-3, CSF|PR.IP-1, CSF|PR.PT-3, CSF2.0|DE.CM-03, CSF2.0|DE.CM-09, CSF2.0|PR.PS-01, GDPR|32.1.b, HIPAA|164.306(a)(1), ISO-27001-2022|A.5.32, ISO-27001-2022|A.8.19, ISO/IEC-27001|A.12.5.1, ISO/IEC-27001|A.12.6.2, ITSG-33|CM-7, LEVEL|2A, NIAv2|SS15a, PCI-DSSv3.2.1|2.2.2, QCSC-v1|3.2, QCSC-v1|8.2.1, SWIFT-CSCv1|2.3, TBA-FIISB|44.2.2, TBA-FIISB|49.2.3
Policy Value:
1
Actual Value:
0</t>
  </si>
  <si>
    <t>"4.11.7.2.8 (BL) Ensure 'Choose how BitLocker-protected operating system drives can be recovered: Save BitLocker recovery information to AD DS for operating system drives' is set to 'Enabled: True': [PASSED]"
This policy setting allows you to control how BitLocker-protected operating system drives are recovered in the absence of the required startup key information. This policy setting is applied when you turn on BitLocker.
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
The recommended state for this setting is: Enabled: True
Should a user lose their primary means for accessing an encrypted OS volume, or should the system not pass its boot time integrity checks, the system will go into recovery mode. If the recovery key has not been backed up to Active Directory, the user would need to have saved the recovery key to another location such as a USB flash drive, or have printed the recovery password, and now have access to one of those in order to recovery the system. If the user is unable to produce the recovery key, then the user will be denied access to the encrypted volume and subsequently any data that is stored there.
Solution:
To establish the recommended configuration via configuration profiles, set the following Settings Catalog path to Enabled: True
Administrative Templates\Windows Components\BitLocker Drive Encryption\Operating System Drives\Choose how BitLocker-protected operating system drives can be recovered: Do not enable BitLocker until recovery information is stored to AD DS for operating system drives
Impact:
BitLocker recovery information for the operating system drive will be backed up to AD DS. Users will need to be domain connected to turn on BitLocker. This policy is not FIPS complaint.
See Also:
https://workbench.cisecurity.org/benchmarks/21719
Reference:
800-171|3.13.16, 800-171r3|03.13.08, 800-53|SC-28, 800-53r5|SC-28, CN-L3|8.1.4.7(b), CN-L3|8.1.4.8(b), CSCv7|13.6, CSCv8|3.6, CSF|PR.DS-1, CSF2.0|PR.DS-01, GDPR|32.1.a, GDPR|32.1.b, HIPAA|164.306(a)(1), HIPAA|164.312(a)(2)(iv), HIPAA|164.312(e)(2)(ii), ISO-27001-2022|A.5.10, ISO-27001-2022|A.5.33, ITSG-33|SC-28, ITSG-33|SC-28a., LEVEL|BLA, PCI-DSSv3.2.1|3.4, PCI-DSSv4.0|3.3.2, PCI-DSSv4.0|3.5.1, QCSC-v1|5.2.2, QCSC-v1|6.2
Policy Value:
1
Actual Value:
1</t>
  </si>
  <si>
    <t>"81.1 (L2) Ensure 'Bluetooth Audio Gateway Service (BTAGService)' is set to 'Disabled': [FAILED]"
Service supporting the audio gateway role of the Bluetooth Handsfree Profile.
The recommended state for this setting is: Disabled
Bluetooth technology has inherent security risks - especially prior to the v2.1 standard. Wireless Bluetooth traffic is not well encrypted (if at all), so in a high-security environment, it should not be permitted, in spite of the added inconvenience of not being able to use Bluetooth devices.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BTAGService -StartupType Disabled
Note: This service was first introduced in Windows 10 Release 1803. It appears to have replaced the older
Bluetooth Handsfree Service (BthHFSrv)
, which was removed from Windows in that release (it is not simply a rename, but a different service).
Impact:
Bluetooth hands-free devices will not function properly with the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4
Actual Value:
3</t>
  </si>
  <si>
    <t>"55.3 (L2) Ensure 'Allow Shared User App Data' is set to 'Block': [PASSED]"
Manages a Windows app's ability to share data between users who have installed the app. Data is shared through the SharedLocal folder. This folder is available through the Windows.Storage API.
The recommended state for this setting is: Block
Users of a system could accidentally share sensitive data with other users on the same system.
Solution:
To establish the recommended configuration via configuration profiles, set the following Settings Catalog path to Block
Microsoft App Store\Allow Shared User App Data
Impact:
None - this is the default behavior.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LEVEL|2A, NESA|T4.2.1, NESA|T5.4.4, NESA|T5.4.5, NESA|T5.5.4, NESA|T5.6.1, NESA|T7.5.2, NESA|T7.5.3, NIAv2|AM3, NIAv2|SS29, QCSC-v1|3.2, QCSC-v1|5.2.2, QCSC-v1|13.2, TBA-FIISB|31.1
Policy Value:
0
Actual Value:
0</t>
  </si>
  <si>
    <t>Opposed: We do not want to enable Bitlocker until all key information has been backed up to prevent data loss.</t>
  </si>
  <si>
    <t>Opposed: We will save the Bitlocker key information in Entra so that recovery can be performed if required</t>
  </si>
  <si>
    <t>Opposed: Implemented, but we "require" a 256-bit recovery key instead of "Allow"</t>
  </si>
  <si>
    <t>Opposed. Using HTTPS print is a more secure method than LPT and other printing services because it allows authentication. This policy controls HTTP and HTTPS.</t>
  </si>
  <si>
    <t>Opposed: Key is backed up to Azure and we prefer to use a Key for restoration. However, password is still allowed if user wants to create.</t>
  </si>
  <si>
    <t>Opposed: No startup pin because it requires user interaction. We accept the risk of dumping the memory contents. DMA mitigations have been enabled.</t>
  </si>
  <si>
    <t>Opposed: Will allow encryption using TPM only.</t>
  </si>
  <si>
    <t>Opposed: Will allow encryption using TPM only so that silent encryption can be enabled.</t>
  </si>
  <si>
    <t>Opposed: We will allow writing to removable drives (such as flash drives) that aren't encrypted.</t>
  </si>
  <si>
    <t>Opposed. Set to Advanced (2) for better AV protection.</t>
  </si>
  <si>
    <t>None</t>
  </si>
  <si>
    <t>Opposed. Store will be available. Using store is better than using downloaded apps.</t>
  </si>
  <si>
    <t>Opposed. Cameras are used for Zoom, Teams, etc.</t>
  </si>
  <si>
    <t>Opposed: Can cause issues with Office Apps. Has been set to audit for monitoring in Defender security portal</t>
  </si>
  <si>
    <t>CIS benchmark issue. Value is set properly, but audit is checking value for 26.1. CIS expects 26.1 to be 1 for 26.2 to be active. However, this is incorrect. 26.1 must be 0 to be active. CIS will update this in future benchmark: https://workbench.cisecurity.org/benchmarks/21719/tickets/24952</t>
  </si>
  <si>
    <t>CIS benchmark issue. Microsoft accounts only support a value of 2. CIS mentions that the value should be set to 2. However, the artififacts section that the audit was based on states the value should be 3 even though 3 is not supported for Microsoft accounts. Submitted this ticket: https://workbench.cisecurity.org/benchmarks/21719/tickets/27505</t>
  </si>
  <si>
    <t>Opposed: We will not require users to ctrl+alt+del. It doesn't really provide additional security but may make users feel like the computer is frozen. Most users are used to hitting any button to bring up the user/pass prompt.</t>
  </si>
  <si>
    <t>Opposed. If this is denied, then elevating using a LAPS password is also impossible.</t>
  </si>
  <si>
    <t>Opposed. We will use store apps for deployment in some cases.</t>
  </si>
  <si>
    <t>Opposed. Enabling this may break MDM functionality including Wipe, Unenroll, Remote Find, Mandatory App install, and more.</t>
  </si>
  <si>
    <t>Opposed. When Bitlocker is enabled, indexing of encrypted files allows search to work better.</t>
  </si>
  <si>
    <t>Opposed. We will allow fonts.</t>
  </si>
  <si>
    <t>Opposed. OneDrive is used as user's backup and file history and has been allowed.</t>
  </si>
  <si>
    <t>Opposed: We will allow Bluetooth to function.</t>
  </si>
  <si>
    <t>Opposed: Required for printing</t>
  </si>
  <si>
    <t>Opposed: May interfere with Intune Device Management functionality</t>
  </si>
  <si>
    <t>Opposed: We allow installing from Microsoft Store</t>
  </si>
  <si>
    <t>Opposed: Service startup options can't be configured in latest version of Windows and it breaks network connections if forced through hacks</t>
  </si>
  <si>
    <t>Opposed: CIS recommendations includes blocking 1394 and Thunderbolt devices. This would break functionality with a lot of devices. Additionally, Microsoft has implemented kernel level DMA protection for newer
    #          builds of Windows 11, which all of our devices are on. We will not implement this due to the breaking functionality and the reduced risk provided by Microsoft's kernel protection.</t>
  </si>
  <si>
    <t>Audit 3</t>
  </si>
  <si>
    <t>"15.2 (L1) Ensure 'Refresh cadence' is set to '90' (or less): [PASSED]"
This policy setting determines how often MDM policies are refreshed on the system.
The recommended state for this setting is: 90 (or less).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90 (or less).
Config Refresh\Refresh cadence
Note: The shortest configurable refresh interval is 30 minutes.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'(3[0-9]|[4-8][0-9]|90)'
Actual Value:
'89'</t>
  </si>
  <si>
    <t>"34.2 (L1) Ensure 'Allow Spotlight Collection (User)' is set to '0': [PASSED]"
This policy setting removes the Spotlight collection setting in Personalization, rendering the user unable to select and subsequently download daily images from Microsoft to the system desktop.
The recommended state for this setting is: 0
Disabling this setting will help ensure your data is not shared with any third party. The Windows Spotlight feature collects data and uses that data to display images from Microsoft.
Solution:
To establish the recommended configuration via configuration profiles, set the following Settings Catalog path to 0 :
Experience\Allow Spotlight Collection (User)
Impact:
The Spotlight collection feature will not be available as an option in Personalization settings, so users will not be able to download daily images from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Compliant items:
  HKLM\Software\Microsoft\PolicyManager\Providers\23F0B53C-489E-4E77-9C99-0AE531B8DE43\Default\S-1-12-1-646820689-1135952126-3140365961-2250431588\Experience - 0</t>
  </si>
  <si>
    <t>"4.10.20.1.13 (L2) Ensure 'Turn off Windows Error Reporting' is set to 'Enabled': [PASSED]"
This policy setting controls whether or not errors are reported to Microsoft.
Error Reporting is used to report information about a system or application that has failed or has stopped responding and is used to improve the quality of the product.
The recommended state for this setting is: Enabled
If a Windows Error occurs in a secure, enterprise managed environment, the error should be reported directly to IT staff for troubleshooting and remediation. There is no benefit to the corporation to report these errors directly to Microsoft, and there is some risk of unknowingly exposing sensitive data as part of the error.
Solution:
To establish the recommended configuration via configuration profiles, set the following Settings Catalog path to Enabled
Administrative Templates\System\Internet Communication Management\Internet Communication settings\Turn off Windows Error Reporting
Impact:
Users are not given the option to report errors to Microsoft.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LEVEL|2A, NIAv2|SS15a, PCI-DSSv3.2.1|2.2.2, SWIFT-CSCv1|2.3
Policy Value:
FAILED
Actual Value:
All of the following must pass to satisfy this requirement:
-------------------------
PASSED - Disabled:
 Remote value: 1
 Policy value: 1
-------------------------
PASSED - DoReport:
 Remote value: 0
 Policy value: 0</t>
  </si>
  <si>
    <t>"4.10.23.1 (L2) Ensure 'Support device authentication using certificate' is set to 'Enabled: Automatic': [PASSED]"
This policy setting allows you to set support for Kerberos to attempt authentication using the certificate for the device to the domain.
Support for device authentication using certificate will require connectivity to a DC in the device account domain which supports certificate authentication for computer accounts.
The recommended state for this setting is: Enabled: Automatic
Having stronger device authentication with the use of certificates is strongly encouraged over standard username and password authentication. Having this set to Automatic will allow certificate based authentication to be used whenever possible.
Solution:
To establish the recommended configuration via configuration profiles, set the following Settings Catalog path to Enabled: Automatic
Administrative Templates\System\Kerberos\Support device authentication using certificate
Impact:
None - this is the default behavior.
See Also:
https://workbench.cisecurity.org/benchmarks/21719
Reference:
800-171|3.4.1, 800-171r3|03.04.10, 800-171r3|03.05.02, 800-53|CM-8, 800-53|IA-3, 800-53r5|CM-8, 800-53r5|IA-3, CN-L3|8.1.10.2(a), CN-L3|8.1.10.2(b), CSCv7|1.6, CSCv7|1.8, CSF|DE.CM-7, CSF|ID.AM-1, CSF|ID.AM-2, CSF|PR.AC-1, CSF|PR.DS-3, CSF2.0|ID.AM-01, CSF2.0|ID.AM-02, CSF2.0|PR.AA-01, CSF2.0|PR.AA-03, CSF2.0|PR.PS-01, GDPR|32.1.b, HIPAA|164.306(a)(1), HIPAA|164.312(a)(2)(i), HIPAA|164.312(d), ISO-27001-2022|A.5.9, ISO-27001-2022|A.8.9, ITSG-33|CM-8, ITSG-33|IA-3, ITSG-33|IA-3a., LEVEL|2A, NESA|T1.2.1, NESA|T1.2.2, NESA|T5.4.3, QCSC-v1|13.2, TBA-FIISB|27.1
Policy Value:
FAILED
Actual Value:
All of the following must pass to satisfy this requirement:
-------------------------
PASSED - Ensure 'DevicePKInitBehavior' is 'Windows: Registry Value' to '0':
 Remote value: 0
 Policy value: 0
-------------------------
PASSED - Ensure 'DevicePKInitEnabled' is 'Windows: Registry Value' to '1':
 Remote value: 1
 Policy value: 1</t>
  </si>
  <si>
    <t>"4.6.17.1 (L2) Ensure 'Configuration of wireless settings using Windows Connect Now' is set to 'Disabled': [PASSED]"
This policy setting allows the configuration of wireless settings using Windows Connect Now (WCN). The WCN Registrar enables the discovery and configuration of devices over Ethernet (UPnP) over in-band 802.11 Wi-Fi through the Windows Portable Device API (WPD) and via USB Flash drives. Additional options are available to allow discovery and configuration over a specific medium.
The recommended state for this setting is: Disabled
This setting enhances the security of the environment and reduces the overall risk exposure related to user configuration of wireless settings.
Solution:
To establish the recommended configuration via configuration profiles, set the following Settings Catalog path to Disabled
Administrative Templates\Network\Windows Connect Now\Configuration of wireless settings using Windows Connect Now
Impact:
WCN operations are disabled over all media.
See Also:
https://workbench.cisecurity.org/benchmarks/21719
Reference:
800-171|3.4.2, 800-171|3.4.6, 800-171|3.4.7, 800-171r3|03.04.02, 800-171r3|03.04.06, 800-53|CM-6, 800-53|CM-7, 800-53r5|CM-6, 800-53r5|CM-7, CSCv7|15.4, CSCv7|15.5, CSCv8|4.8, CSF|PR.IP-1, CSF|PR.PT-3, CSF2.0|DE.CM-09, CSF2.0|PR.PS-01, GDPR|32.1.b, HIPAA|164.306(a)(1), ISO-27001-2022|A.8.9, ITSG-33|CM-6, ITSG-33|CM-7, LEVEL|2A, NIAv2|SS15a, PCI-DSSv3.2.1|2.2.2, SWIFT-CSCv1|2.3
Policy Value:
FAILED
Actual Value:
All of the following must pass to satisfy this requirement:
-------------------------
PASSED - EnableRegistrars:
 Remote value: 0
 Policy value: 0
-------------------------
PASSED - DisableUPnPRegistrar:
 Remote value: 0
 Policy value: 0
-------------------------
PASSED - DisableInBand802DOT11Registrar:
 Remote value: 0
 Policy value: 0
-------------------------
PASSED - DisableFlashConfigRegistrar:
 Remote value: 0
 Policy value: 0
-------------------------
PASSED - DisableWPDRegistrar:
 Remote value: 0
 Policy value: 0</t>
  </si>
  <si>
    <t>"4.6.8.1 (L2) Ensure 'Turn on Mapper I/O (LLTDIO) driver' is set to 'Disabled': [PASSED]"
This policy setting changes the operational behavior of the Mapper I/O network protocol driver.
LLTDIO allows a computer to discover the topology of a network it's connected to. It also allows a computer to initiate Quality-of-Service requests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Mapper I/O (LLTDIO) driver
Impact:
None - this is the default behavior.
See Also:
https://workbench.cisecurity.org/benchmarks/21719
Reference:
800-171|3.4.2, 800-171r3|03.04.02, 800-53|CM-6, 800-53r5|CM-6, CSCv7|5.1, CSF|PR.IP-1, CSF2.0|DE.CM-09, CSF2.0|PR.PS-01, GDPR|32.1.b, HIPAA|164.306(a)(1), ISO-27001-2022|A.8.9, ITSG-33|CM-6, LEVEL|2A, SWIFT-CSCv1|2.3
Policy Value:
FAILED
Actual Value:
All of the following must pass to satisfy this requirement:
-------------------------
PASSED - AllowLLTDIOOnDomain:
 Remote value: 0
 Policy value: 0
-------------------------
PASSED - AllowLLTDIOOnPublicNet:
 Remote value: 0
 Policy value: 0
-------------------------
PASSED - EnableLLTDIO:
 Remote value: 0
 Policy value: 0
-------------------------
PASSED - ProhibitLLTDIOOnPrivateNet:
 Remote value: 0
 Policy value: 0</t>
  </si>
  <si>
    <t>"4.6.8.2 (L2) Ensure 'Turn on Responder (RSPNDR) driver' is set to 'Disabled': [PASSED]"
This policy setting changes the operational behavior of the Responder network protocol driver.
The Responder allows a computer to participate in Link Layer Topology Discovery requests so that it can be discovered and located on the network. It also allows a computer to participate in Quality-of-Service activities such as bandwidth estimation and network health analysis.
The recommended state for this setting is: Disabled
To help protect from potentially discovering and connecting to unauthorized devices, this setting should be disabled to prevent responding to network traffic for network topology discovery.
Solution:
To establish the recommended configuration via configuration profiles, set the following Settings Catalog path to Disabled
Administrative Templates\Network\Link-Layer Topology Discovery\Turn on Responder
Impact:
None - this is the default behavior.
See Also:
https://workbench.cisecurity.org/benchmarks/21719
Reference:
800-171|3.4.2, 800-171r3|03.04.02, 800-53|CM-6, 800-53r5|CM-6, CSCv7|5.1, CSF|PR.IP-1, CSF2.0|DE.CM-09, CSF2.0|PR.PS-01, GDPR|32.1.b, HIPAA|164.306(a)(1), ISO-27001-2022|A.8.9, ITSG-33|CM-6, LEVEL|2A, SWIFT-CSCv1|2.3
Policy Value:
FAILED
Actual Value:
All of the following must pass to satisfy this requirement:
-------------------------
PASSED - AllowRspndrOnDomain:
 Remote value: 0
 Policy value: 0
-------------------------
PASSED - AllowRspndrOnPublicNet:
 Remote value: 0
 Policy value: 0
-------------------------
PASSED - EnableRspndr:
 Remote value: 0
 Policy value: 0
-------------------------
PASSED - ProhibitRspndrOnPrivateNet:
 Remote value: 0
 Policy value: 0</t>
  </si>
  <si>
    <t>"89.24 (L2) Ensure 'Log On As Batch Job' is set to 'Administrators': [PASSED]"
This policy setting allows accounts to log on using the task scheduler service. Because the task scheduler is often used for administrative purposes, it may be needed in enterprise environments. However, its use should be restricted in high security environments to prevent misuse of system resources or to prevent attackers from using the right to launch malicious code after gaining user level access to a computer.
The recommended state for this setting is: *S-1-5-32-544 (Administrators).
The Log on as a batch job user right presents a low-risk vulnerability. For most organizations, the default settings are sufficient.
Solution:
To establish the recommended configuration via configuration profiles, set the following Settings Catalog path to *S-1-5-32-544 (Administrators).
User Rights\Log On As Batch Job
Impact:
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
(ComputerName)
, ASPNET and IWAM_
(ComputerName)
accounts. If this user right is not assigned to this group and these accounts, IIS will be unable to run some COM objects that are necessary for proper functionality.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LEVEL|2A,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</si>
  <si>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Wrong CSP URI in config.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</si>
</sst>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00B050"/>
      <name val="Aptos Narrow"/>
      <family val="2"/>
      <scheme val="minor"/>
    </font>
    <font>
      <b/>
      <sz val="11"/>
      <color rgb="FFC00000"/>
      <name val="Aptos Narrow"/>
      <family val="2"/>
      <scheme val="minor"/>
    </font>
    <font>
      <b/>
      <sz val="11"/>
      <color rgb="FF0070C0"/>
      <name val="Aptos Narrow"/>
      <family val="2"/>
      <scheme val="minor"/>
    </font>
    <font>
      <b/>
      <sz val="11"/>
      <color rgb="FF00B050"/>
      <name val="Calibri"/>
      <family val="2"/>
    </font>
    <font>
      <sz val="11"/>
      <color theme="1"/>
      <name val="Calibri"/>
      <family val="2"/>
    </font>
    <font>
      <b/>
      <sz val="11"/>
      <color rgb="FFC00000"/>
      <name val="Calibri"/>
      <family val="2"/>
    </font>
    <font>
      <b/>
      <sz val="11"/>
      <color rgb="FF0070C0"/>
      <name val="Calibri"/>
      <family val="2"/>
    </font>
    <font>
      <b/>
      <sz val="11"/>
      <color theme="5" tint="-0.249977111117893"/>
      <name val="Calibri"/>
      <family val="2"/>
    </font>
    <font>
      <b/>
      <sz val="11"/>
      <color theme="1"/>
      <name val="Calibri"/>
      <family val="2"/>
    </font>
    <font>
      <sz val="11"/>
      <color rgb="FF9C0006"/>
      <name val="Aptos Narrow"/>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2">
    <xf numFmtId="0" fontId="0" fillId="0" borderId="0"/>
    <xf numFmtId="0" fontId="11" fillId="2" borderId="0" applyNumberFormat="0" applyBorder="0" applyAlignment="0" applyProtection="0"/>
  </cellStyleXfs>
  <cellXfs count="22">
    <xf numFmtId="0" fontId="0" fillId="0" borderId="0" xfId="0"/>
    <xf numFmtId="0" fontId="2" fillId="0" borderId="0" xfId="0" applyFont="1"/>
    <xf numFmtId="0" fontId="3" fillId="0" borderId="0" xfId="0" applyFont="1"/>
    <xf numFmtId="1" fontId="4" fillId="0" borderId="1" xfId="0" applyNumberFormat="1" applyFont="1" applyBorder="1" applyAlignment="1">
      <alignment horizontal="right"/>
    </xf>
    <xf numFmtId="0" fontId="1" fillId="0" borderId="0" xfId="0" applyFont="1" applyAlignment="1">
      <alignment vertical="center"/>
    </xf>
    <xf numFmtId="2" fontId="5" fillId="0" borderId="0" xfId="0" applyNumberFormat="1" applyFont="1"/>
    <xf numFmtId="0" fontId="6" fillId="0" borderId="0" xfId="0" applyFont="1"/>
    <xf numFmtId="2" fontId="7" fillId="0" borderId="0" xfId="0" applyNumberFormat="1" applyFont="1"/>
    <xf numFmtId="2" fontId="8" fillId="0" borderId="1" xfId="0" applyNumberFormat="1" applyFont="1" applyBorder="1"/>
    <xf numFmtId="2" fontId="9" fillId="0" borderId="0" xfId="0" applyNumberFormat="1" applyFont="1"/>
    <xf numFmtId="2" fontId="6" fillId="0" borderId="0" xfId="0" applyNumberFormat="1" applyFont="1"/>
    <xf numFmtId="2" fontId="10" fillId="0" borderId="0" xfId="0" applyNumberFormat="1" applyFont="1" applyAlignment="1">
      <alignment vertical="center"/>
    </xf>
    <xf numFmtId="0" fontId="10" fillId="0" borderId="0" xfId="0" applyFont="1" applyAlignment="1">
      <alignment vertical="center"/>
    </xf>
    <xf numFmtId="0" fontId="6" fillId="0" borderId="0" xfId="0" applyFont="1" applyAlignment="1">
      <alignment horizontal="left" vertical="top"/>
    </xf>
    <xf numFmtId="0" fontId="1" fillId="0" borderId="0" xfId="0" applyFont="1" applyAlignment="1">
      <alignment horizontal="left" vertical="top"/>
    </xf>
    <xf numFmtId="0" fontId="10" fillId="0" borderId="0" xfId="0" applyFont="1" applyAlignment="1">
      <alignment horizontal="left" vertical="top"/>
    </xf>
    <xf numFmtId="0" fontId="0" fillId="0" borderId="0" xfId="0" applyAlignment="1">
      <alignment horizontal="left" vertical="top" wrapText="1"/>
    </xf>
    <xf numFmtId="0" fontId="11" fillId="2" borderId="0" xfId="1" applyAlignment="1">
      <alignment horizontal="left" vertical="top"/>
    </xf>
    <xf numFmtId="0" fontId="11" fillId="2" borderId="0" xfId="1"/>
    <xf numFmtId="0" fontId="1" fillId="0" borderId="0" xfId="0" applyFont="1" applyAlignment="1">
      <alignment horizontal="left" vertical="top" wrapText="1"/>
    </xf>
    <xf numFmtId="0" fontId="6" fillId="0" borderId="0" xfId="0" applyFont="1" applyAlignment="1">
      <alignment horizontal="left" vertical="top" wrapText="1"/>
    </xf>
    <xf numFmtId="0" fontId="0" fillId="0" borderId="0" xfId="0" applyAlignment="1">
      <alignment horizontal="left" vertical="top"/>
    </xf>
  </cellXfs>
  <cellStyles count="2">
    <cellStyle name="Bad" xfId="1" builtinId="27"/>
    <cellStyle name="Normal" xfId="0" builtinId="0"/>
  </cellStyles>
  <dxfs count="2">
    <dxf>
      <font>
        <b/>
        <i val="0"/>
        <color theme="0"/>
      </font>
      <fill>
        <patternFill>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186F-163D-43CA-BFD2-85ACCE2573B3}">
  <sheetPr filterMode="1"/>
  <dimension ref="A1:L469"/>
  <sheetViews>
    <sheetView tabSelected="1" zoomScale="115" zoomScaleNormal="115" workbookViewId="0">
      <selection activeCell="D156" sqref="D156"/>
    </sheetView>
  </sheetViews>
  <sheetFormatPr defaultRowHeight="17" customHeight="1" x14ac:dyDescent="0.35"/>
  <cols>
    <col min="1" max="1" width="20.453125" style="6" bestFit="1" customWidth="1"/>
    <col min="2" max="2" width="8.36328125" style="6" bestFit="1" customWidth="1"/>
    <col min="3" max="3" width="145.1796875" style="13" customWidth="1"/>
    <col min="4" max="4" width="43.7265625" style="13" customWidth="1"/>
    <col min="5" max="5" width="18.90625" style="6" bestFit="1" customWidth="1"/>
    <col min="6" max="6" width="13.453125" style="6" bestFit="1" customWidth="1"/>
    <col min="7" max="7" width="3.81640625" style="13" bestFit="1" customWidth="1"/>
    <col min="8" max="9" width="2.81640625" style="13" bestFit="1" customWidth="1"/>
    <col min="10" max="10" width="2.7265625" style="13" bestFit="1" customWidth="1"/>
    <col min="11" max="11" width="2.81640625" style="13" bestFit="1" customWidth="1"/>
    <col min="12" max="12" width="2.7265625" style="13" bestFit="1" customWidth="1"/>
    <col min="13" max="16384" width="8.7265625" style="6"/>
  </cols>
  <sheetData>
    <row r="1" spans="1:12" ht="17" customHeight="1" x14ac:dyDescent="0.35">
      <c r="A1" s="5" t="s">
        <v>0</v>
      </c>
      <c r="B1" s="1">
        <f>COUNTIF(B7:B99990,"PASSED")</f>
        <v>423</v>
      </c>
    </row>
    <row r="2" spans="1:12" ht="17" customHeight="1" x14ac:dyDescent="0.35">
      <c r="A2" s="7" t="s">
        <v>1</v>
      </c>
      <c r="B2" s="2">
        <f>COUNTIF(B7:B99990,"FAILED")</f>
        <v>34</v>
      </c>
    </row>
    <row r="3" spans="1:12" ht="17" customHeight="1" x14ac:dyDescent="0.35">
      <c r="A3" s="8" t="s">
        <v>2</v>
      </c>
      <c r="B3" s="3">
        <f>COUNTIF(F7:F99990,"None")</f>
        <v>33</v>
      </c>
    </row>
    <row r="4" spans="1:12" ht="17" customHeight="1" x14ac:dyDescent="0.35">
      <c r="A4" s="9" t="s">
        <v>3</v>
      </c>
      <c r="B4" s="2">
        <f>B2-B3</f>
        <v>1</v>
      </c>
    </row>
    <row r="5" spans="1:12" ht="17" customHeight="1" x14ac:dyDescent="0.35">
      <c r="A5" s="10"/>
    </row>
    <row r="6" spans="1:12" ht="17" customHeight="1" x14ac:dyDescent="0.35">
      <c r="A6" s="11" t="s">
        <v>4</v>
      </c>
      <c r="B6" s="12" t="s">
        <v>5</v>
      </c>
      <c r="C6" s="15" t="s">
        <v>6</v>
      </c>
      <c r="D6" s="19" t="s">
        <v>323</v>
      </c>
      <c r="E6" s="4" t="s">
        <v>324</v>
      </c>
      <c r="F6" s="4" t="s">
        <v>325</v>
      </c>
      <c r="G6" s="14" t="s">
        <v>326</v>
      </c>
      <c r="H6" s="14" t="s">
        <v>327</v>
      </c>
      <c r="I6" s="14" t="s">
        <v>328</v>
      </c>
      <c r="J6" s="14" t="s">
        <v>329</v>
      </c>
      <c r="K6" s="14" t="s">
        <v>330</v>
      </c>
      <c r="L6" s="14" t="s">
        <v>331</v>
      </c>
    </row>
    <row r="7" spans="1:12" ht="15" hidden="1" customHeight="1" x14ac:dyDescent="0.35">
      <c r="A7" s="6" t="str">
        <f>MID(C7,2,FIND(")",C7,1)-5)</f>
        <v xml:space="preserve">1.1 </v>
      </c>
      <c r="B7" t="str">
        <f>IF(ISNUMBER(FIND("[PASSED]",C7,1)),"PASSED","FAILED")</f>
        <v>PASSED</v>
      </c>
      <c r="C7" s="16" t="s">
        <v>142</v>
      </c>
      <c r="D7" s="6"/>
      <c r="G7" s="13">
        <v>1</v>
      </c>
      <c r="H7" s="13">
        <v>1</v>
      </c>
    </row>
    <row r="8" spans="1:12" ht="15" hidden="1" customHeight="1" x14ac:dyDescent="0.35">
      <c r="A8" s="6" t="str">
        <f>MID(C8,2,FIND(")",C8,1)-5)</f>
        <v xml:space="preserve">4.1.3.1 </v>
      </c>
      <c r="B8" t="str">
        <f>IF(ISNUMBER(FIND("[PASSED]",C8,1)),"PASSED","FAILED")</f>
        <v>PASSED</v>
      </c>
      <c r="C8" s="16" t="s">
        <v>7</v>
      </c>
      <c r="D8" s="6"/>
      <c r="G8" s="13">
        <v>4</v>
      </c>
      <c r="H8" s="13">
        <v>1</v>
      </c>
      <c r="I8" s="13">
        <v>3</v>
      </c>
      <c r="J8" s="13">
        <v>1</v>
      </c>
    </row>
    <row r="9" spans="1:12" ht="15" hidden="1" customHeight="1" x14ac:dyDescent="0.35">
      <c r="A9" s="6" t="str">
        <f>MID(C9,2,FIND(")",C9,1)-5)</f>
        <v xml:space="preserve">4.1.3.2 </v>
      </c>
      <c r="B9" t="str">
        <f>IF(ISNUMBER(FIND("[PASSED]",C9,1)),"PASSED","FAILED")</f>
        <v>PASSED</v>
      </c>
      <c r="C9" s="16" t="s">
        <v>36</v>
      </c>
      <c r="D9" s="6"/>
      <c r="G9" s="13">
        <v>4</v>
      </c>
      <c r="H9" s="13">
        <v>1</v>
      </c>
      <c r="I9" s="13">
        <v>3</v>
      </c>
      <c r="J9" s="13">
        <v>2</v>
      </c>
    </row>
    <row r="10" spans="1:12" ht="15" hidden="1" customHeight="1" x14ac:dyDescent="0.35">
      <c r="A10" s="6" t="str">
        <f>MID(C10,2,FIND(")",C10,1)-5)</f>
        <v xml:space="preserve">4.4.1 </v>
      </c>
      <c r="B10" t="str">
        <f>IF(ISNUMBER(FIND("[PASSED]",C10,1)),"PASSED","FAILED")</f>
        <v>PASSED</v>
      </c>
      <c r="C10" s="16" t="s">
        <v>115</v>
      </c>
      <c r="D10" s="6"/>
      <c r="G10" s="13">
        <v>4</v>
      </c>
      <c r="H10" s="13">
        <v>4</v>
      </c>
      <c r="I10" s="13">
        <v>1</v>
      </c>
    </row>
    <row r="11" spans="1:12" ht="15" hidden="1" customHeight="1" x14ac:dyDescent="0.35">
      <c r="A11" s="6" t="str">
        <f>MID(C11,2,FIND(")",C11,1)-5)</f>
        <v xml:space="preserve">4.4.2 </v>
      </c>
      <c r="B11" t="str">
        <f>IF(ISNUMBER(FIND("[PASSED]",C11,1)),"PASSED","FAILED")</f>
        <v>PASSED</v>
      </c>
      <c r="C11" s="16" t="s">
        <v>247</v>
      </c>
      <c r="G11" s="13">
        <v>4</v>
      </c>
      <c r="H11" s="13">
        <v>4</v>
      </c>
      <c r="I11" s="13">
        <v>2</v>
      </c>
    </row>
    <row r="12" spans="1:12" ht="15" hidden="1" customHeight="1" x14ac:dyDescent="0.35">
      <c r="A12" s="6" t="str">
        <f>MID(C12,2,FIND(")",C12,1)-5)</f>
        <v xml:space="preserve">4.4.3 </v>
      </c>
      <c r="B12" t="str">
        <f>IF(ISNUMBER(FIND("[PASSED]",C12,1)),"PASSED","FAILED")</f>
        <v>PASSED</v>
      </c>
      <c r="C12" s="16" t="s">
        <v>108</v>
      </c>
      <c r="D12" s="6"/>
      <c r="G12" s="13">
        <v>4</v>
      </c>
      <c r="H12" s="13">
        <v>4</v>
      </c>
      <c r="I12" s="13">
        <v>3</v>
      </c>
    </row>
    <row r="13" spans="1:12" ht="15" hidden="1" customHeight="1" x14ac:dyDescent="0.35">
      <c r="A13" s="6" t="str">
        <f>MID(C13,2,FIND(")",C13,1)-5)</f>
        <v xml:space="preserve">4.4.4 </v>
      </c>
      <c r="B13" t="str">
        <f>IF(ISNUMBER(FIND("[PASSED]",C13,1)),"PASSED","FAILED")</f>
        <v>PASSED</v>
      </c>
      <c r="C13" s="16" t="s">
        <v>149</v>
      </c>
      <c r="D13" s="6"/>
      <c r="G13" s="13">
        <v>4</v>
      </c>
      <c r="H13" s="13">
        <v>4</v>
      </c>
      <c r="I13" s="13">
        <v>4</v>
      </c>
    </row>
    <row r="14" spans="1:12" ht="15" hidden="1" customHeight="1" x14ac:dyDescent="0.35">
      <c r="A14" s="6" t="str">
        <f>MID(C14,2,FIND(")",C14,1)-5)</f>
        <v xml:space="preserve">4.4.5 </v>
      </c>
      <c r="B14" t="str">
        <f>IF(ISNUMBER(FIND("[PASSED]",C14,1)),"PASSED","FAILED")</f>
        <v>PASSED</v>
      </c>
      <c r="C14" s="16" t="s">
        <v>273</v>
      </c>
      <c r="D14" s="6"/>
      <c r="G14" s="13">
        <v>4</v>
      </c>
      <c r="H14" s="13">
        <v>4</v>
      </c>
      <c r="I14" s="13">
        <v>5</v>
      </c>
    </row>
    <row r="15" spans="1:12" ht="15" hidden="1" customHeight="1" x14ac:dyDescent="0.35">
      <c r="A15" s="6" t="str">
        <f>MID(C15,2,FIND(")",C15,1)-5)</f>
        <v xml:space="preserve">4.5.1 </v>
      </c>
      <c r="B15" t="str">
        <f>IF(ISNUMBER(FIND("[PASSED]",C15,1)),"PASSED","FAILED")</f>
        <v>PASSED</v>
      </c>
      <c r="C15" s="16" t="s">
        <v>16</v>
      </c>
      <c r="D15" s="6"/>
      <c r="G15" s="13">
        <v>4</v>
      </c>
      <c r="H15" s="13">
        <v>5</v>
      </c>
      <c r="I15" s="13">
        <v>1</v>
      </c>
    </row>
    <row r="16" spans="1:12" ht="15" hidden="1" customHeight="1" x14ac:dyDescent="0.35">
      <c r="A16" s="6" t="str">
        <f>MID(C16,2,FIND(")",C16,1)-5)</f>
        <v xml:space="preserve">4.5.2 </v>
      </c>
      <c r="B16" t="str">
        <f>IF(ISNUMBER(FIND("[PASSED]",C16,1)),"PASSED","FAILED")</f>
        <v>PASSED</v>
      </c>
      <c r="C16" s="16" t="s">
        <v>164</v>
      </c>
      <c r="D16" s="6"/>
      <c r="G16" s="13">
        <v>4</v>
      </c>
      <c r="H16" s="13">
        <v>5</v>
      </c>
      <c r="I16" s="13">
        <v>2</v>
      </c>
    </row>
    <row r="17" spans="1:10" ht="15" hidden="1" customHeight="1" x14ac:dyDescent="0.35">
      <c r="A17" s="6" t="str">
        <f>MID(C17,2,FIND(")",C17,1)-5)</f>
        <v xml:space="preserve">4.5.3 </v>
      </c>
      <c r="B17" t="str">
        <f>IF(ISNUMBER(FIND("[PASSED]",C17,1)),"PASSED","FAILED")</f>
        <v>PASSED</v>
      </c>
      <c r="C17" s="16" t="s">
        <v>258</v>
      </c>
      <c r="D17" s="6"/>
      <c r="G17" s="13">
        <v>4</v>
      </c>
      <c r="H17" s="13">
        <v>5</v>
      </c>
      <c r="I17" s="13">
        <v>3</v>
      </c>
    </row>
    <row r="18" spans="1:10" ht="15" hidden="1" customHeight="1" x14ac:dyDescent="0.35">
      <c r="A18" s="6" t="str">
        <f>MID(C18,2,FIND(")",C18,1)-5)</f>
        <v xml:space="preserve">4.5.4 </v>
      </c>
      <c r="B18" t="str">
        <f>IF(ISNUMBER(FIND("[PASSED]",C18,1)),"PASSED","FAILED")</f>
        <v>PASSED</v>
      </c>
      <c r="C18" s="16" t="s">
        <v>408</v>
      </c>
      <c r="D18" s="6"/>
      <c r="G18" s="13">
        <v>4</v>
      </c>
      <c r="H18" s="13">
        <v>5</v>
      </c>
      <c r="I18" s="13">
        <v>4</v>
      </c>
    </row>
    <row r="19" spans="1:10" ht="15" hidden="1" customHeight="1" x14ac:dyDescent="0.35">
      <c r="A19" s="6" t="str">
        <f>MID(C19,2,FIND(")",C19,1)-5)</f>
        <v xml:space="preserve">4.5.5 </v>
      </c>
      <c r="B19" t="str">
        <f>IF(ISNUMBER(FIND("[PASSED]",C19,1)),"PASSED","FAILED")</f>
        <v>PASSED</v>
      </c>
      <c r="C19" s="16" t="s">
        <v>179</v>
      </c>
      <c r="D19" s="6"/>
      <c r="G19" s="13">
        <v>4</v>
      </c>
      <c r="H19" s="13">
        <v>5</v>
      </c>
      <c r="I19" s="13">
        <v>5</v>
      </c>
    </row>
    <row r="20" spans="1:10" ht="15" hidden="1" customHeight="1" x14ac:dyDescent="0.35">
      <c r="A20" s="6" t="str">
        <f>MID(C20,2,FIND(")",C20,1)-5)</f>
        <v xml:space="preserve">4.5.6 </v>
      </c>
      <c r="B20" t="str">
        <f>IF(ISNUMBER(FIND("[PASSED]",C20,1)),"PASSED","FAILED")</f>
        <v>PASSED</v>
      </c>
      <c r="C20" s="16" t="s">
        <v>414</v>
      </c>
      <c r="D20" s="6"/>
      <c r="G20" s="13">
        <v>4</v>
      </c>
      <c r="H20" s="13">
        <v>5</v>
      </c>
      <c r="I20" s="13">
        <v>6</v>
      </c>
    </row>
    <row r="21" spans="1:10" ht="15" hidden="1" customHeight="1" x14ac:dyDescent="0.35">
      <c r="A21" s="6" t="str">
        <f>MID(C21,2,FIND(")",C21,1)-5)</f>
        <v xml:space="preserve">4.5.7 </v>
      </c>
      <c r="B21" t="str">
        <f>IF(ISNUMBER(FIND("[PASSED]",C21,1)),"PASSED","FAILED")</f>
        <v>PASSED</v>
      </c>
      <c r="C21" s="16" t="s">
        <v>114</v>
      </c>
      <c r="D21" s="6"/>
      <c r="G21" s="13">
        <v>4</v>
      </c>
      <c r="H21" s="13">
        <v>5</v>
      </c>
      <c r="I21" s="13">
        <v>7</v>
      </c>
    </row>
    <row r="22" spans="1:10" ht="15" hidden="1" customHeight="1" x14ac:dyDescent="0.35">
      <c r="A22" s="6" t="str">
        <f>MID(C22,2,FIND(")",C22,1)-5)</f>
        <v xml:space="preserve">4.5.8 </v>
      </c>
      <c r="B22" t="str">
        <f>IF(ISNUMBER(FIND("[PASSED]",C22,1)),"PASSED","FAILED")</f>
        <v>PASSED</v>
      </c>
      <c r="C22" s="16" t="s">
        <v>450</v>
      </c>
      <c r="D22" s="6"/>
      <c r="G22" s="13">
        <v>4</v>
      </c>
      <c r="H22" s="13">
        <v>5</v>
      </c>
      <c r="I22" s="13">
        <v>8</v>
      </c>
    </row>
    <row r="23" spans="1:10" ht="15" hidden="1" customHeight="1" x14ac:dyDescent="0.35">
      <c r="A23" s="6" t="str">
        <f>MID(C23,2,FIND(")",C23,1)-5)</f>
        <v xml:space="preserve">4.5.9 </v>
      </c>
      <c r="B23" t="str">
        <f>IF(ISNUMBER(FIND("[PASSED]",C23,1)),"PASSED","FAILED")</f>
        <v>PASSED</v>
      </c>
      <c r="C23" s="16" t="s">
        <v>37</v>
      </c>
      <c r="D23" s="6"/>
      <c r="G23" s="13">
        <v>4</v>
      </c>
      <c r="H23" s="13">
        <v>5</v>
      </c>
      <c r="I23" s="13">
        <v>9</v>
      </c>
    </row>
    <row r="24" spans="1:10" ht="15" hidden="1" customHeight="1" x14ac:dyDescent="0.35">
      <c r="A24" s="6" t="str">
        <f>MID(C24,2,FIND(")",C24,1)-5)</f>
        <v xml:space="preserve">4.5.10 </v>
      </c>
      <c r="B24" t="str">
        <f>IF(ISNUMBER(FIND("[PASSED]",C24,1)),"PASSED","FAILED")</f>
        <v>PASSED</v>
      </c>
      <c r="C24" s="16" t="s">
        <v>72</v>
      </c>
      <c r="D24" s="6"/>
      <c r="G24" s="13">
        <v>4</v>
      </c>
      <c r="H24" s="13">
        <v>5</v>
      </c>
      <c r="I24" s="13">
        <v>10</v>
      </c>
    </row>
    <row r="25" spans="1:10" ht="15" hidden="1" customHeight="1" x14ac:dyDescent="0.35">
      <c r="A25" s="6" t="str">
        <f>MID(C25,2,FIND(")",C25,1)-5)</f>
        <v xml:space="preserve">4.5.11 </v>
      </c>
      <c r="B25" t="str">
        <f>IF(ISNUMBER(FIND("[PASSED]",C25,1)),"PASSED","FAILED")</f>
        <v>PASSED</v>
      </c>
      <c r="C25" s="16" t="s">
        <v>451</v>
      </c>
      <c r="D25" s="6"/>
      <c r="G25" s="13">
        <v>4</v>
      </c>
      <c r="H25" s="13">
        <v>5</v>
      </c>
      <c r="I25" s="13">
        <v>11</v>
      </c>
    </row>
    <row r="26" spans="1:10" ht="15" hidden="1" customHeight="1" x14ac:dyDescent="0.35">
      <c r="A26" s="6" t="str">
        <f>MID(C26,2,FIND(")",C26,1)-5)</f>
        <v xml:space="preserve">4.5.12 </v>
      </c>
      <c r="B26" t="str">
        <f>IF(ISNUMBER(FIND("[PASSED]",C26,1)),"PASSED","FAILED")</f>
        <v>PASSED</v>
      </c>
      <c r="C26" s="16" t="s">
        <v>384</v>
      </c>
      <c r="D26" s="6"/>
      <c r="G26" s="13">
        <v>4</v>
      </c>
      <c r="H26" s="13">
        <v>5</v>
      </c>
      <c r="I26" s="13">
        <v>12</v>
      </c>
    </row>
    <row r="27" spans="1:10" ht="15" hidden="1" customHeight="1" x14ac:dyDescent="0.35">
      <c r="A27" s="6" t="str">
        <f>MID(C27,2,FIND(")",C27,1)-5)</f>
        <v xml:space="preserve">4.5.13 </v>
      </c>
      <c r="B27" t="str">
        <f>IF(ISNUMBER(FIND("[PASSED]",C27,1)),"PASSED","FAILED")</f>
        <v>PASSED</v>
      </c>
      <c r="C27" s="16" t="s">
        <v>187</v>
      </c>
      <c r="D27" s="6"/>
      <c r="G27" s="13">
        <v>4</v>
      </c>
      <c r="H27" s="13">
        <v>5</v>
      </c>
      <c r="I27" s="13">
        <v>13</v>
      </c>
    </row>
    <row r="28" spans="1:10" ht="15" hidden="1" customHeight="1" x14ac:dyDescent="0.35">
      <c r="A28" s="6" t="str">
        <f>MID(C28,2,FIND(")",C28,1)-5)</f>
        <v xml:space="preserve">4.6.4.1 </v>
      </c>
      <c r="B28" t="str">
        <f>IF(ISNUMBER(FIND("[PASSED]",C28,1)),"PASSED","FAILED")</f>
        <v>PASSED</v>
      </c>
      <c r="C28" s="16" t="s">
        <v>98</v>
      </c>
      <c r="D28" s="6"/>
      <c r="G28" s="13">
        <v>4</v>
      </c>
      <c r="H28" s="13">
        <v>6</v>
      </c>
      <c r="I28" s="13">
        <v>4</v>
      </c>
      <c r="J28" s="13">
        <v>1</v>
      </c>
    </row>
    <row r="29" spans="1:10" ht="15" hidden="1" customHeight="1" x14ac:dyDescent="0.35">
      <c r="A29" s="6" t="str">
        <f>MID(C29,2,FIND(")",C29,1)-5)</f>
        <v xml:space="preserve">4.6.8.1 </v>
      </c>
      <c r="B29" t="str">
        <f>IF(ISNUMBER(FIND("[PASSED]",C29,1)),"PASSED","FAILED")</f>
        <v>PASSED</v>
      </c>
      <c r="C29" s="16" t="s">
        <v>504</v>
      </c>
      <c r="D29" s="6"/>
      <c r="G29" s="13">
        <v>4</v>
      </c>
      <c r="H29" s="13">
        <v>6</v>
      </c>
      <c r="I29" s="13">
        <v>8</v>
      </c>
      <c r="J29" s="13">
        <v>1</v>
      </c>
    </row>
    <row r="30" spans="1:10" ht="15" hidden="1" customHeight="1" x14ac:dyDescent="0.35">
      <c r="A30" s="6" t="str">
        <f>MID(C30,2,FIND(")",C30,1)-5)</f>
        <v xml:space="preserve">4.6.8.2 </v>
      </c>
      <c r="B30" t="str">
        <f>IF(ISNUMBER(FIND("[PASSED]",C30,1)),"PASSED","FAILED")</f>
        <v>PASSED</v>
      </c>
      <c r="C30" s="16" t="s">
        <v>505</v>
      </c>
      <c r="D30" s="6"/>
      <c r="G30" s="13">
        <v>4</v>
      </c>
      <c r="H30" s="13">
        <v>6</v>
      </c>
      <c r="I30" s="13">
        <v>8</v>
      </c>
      <c r="J30" s="13">
        <v>2</v>
      </c>
    </row>
    <row r="31" spans="1:10" ht="15" hidden="1" customHeight="1" x14ac:dyDescent="0.35">
      <c r="A31" s="6" t="str">
        <f>MID(C31,2,FIND(")",C31,1)-5)</f>
        <v xml:space="preserve">4.6.9.1 </v>
      </c>
      <c r="B31" t="str">
        <f>IF(ISNUMBER(FIND("[PASSED]",C31,1)),"PASSED","FAILED")</f>
        <v>PASSED</v>
      </c>
      <c r="C31" s="16" t="s">
        <v>80</v>
      </c>
      <c r="D31" s="6"/>
      <c r="G31" s="13">
        <v>4</v>
      </c>
      <c r="H31" s="13">
        <v>6</v>
      </c>
      <c r="I31" s="13">
        <v>9</v>
      </c>
      <c r="J31" s="13">
        <v>1</v>
      </c>
    </row>
    <row r="32" spans="1:10" ht="15" hidden="1" customHeight="1" x14ac:dyDescent="0.35">
      <c r="A32" s="6" t="str">
        <f>MID(C32,2,FIND(")",C32,1)-5)</f>
        <v xml:space="preserve">4.6.9.2 </v>
      </c>
      <c r="B32" t="str">
        <f>IF(ISNUMBER(FIND("[PASSED]",C32,1)),"PASSED","FAILED")</f>
        <v>PASSED</v>
      </c>
      <c r="C32" s="16" t="s">
        <v>209</v>
      </c>
      <c r="D32" s="6"/>
      <c r="G32" s="13">
        <v>4</v>
      </c>
      <c r="H32" s="13">
        <v>6</v>
      </c>
      <c r="I32" s="13">
        <v>9</v>
      </c>
      <c r="J32" s="13">
        <v>2</v>
      </c>
    </row>
    <row r="33" spans="1:10" ht="15" hidden="1" customHeight="1" x14ac:dyDescent="0.35">
      <c r="A33" s="6" t="str">
        <f>MID(C33,2,FIND(")",C33,1)-5)</f>
        <v xml:space="preserve">4.6.9.3 </v>
      </c>
      <c r="B33" t="str">
        <f>IF(ISNUMBER(FIND("[PASSED]",C33,1)),"PASSED","FAILED")</f>
        <v>PASSED</v>
      </c>
      <c r="C33" s="16" t="s">
        <v>190</v>
      </c>
      <c r="D33" s="6"/>
      <c r="G33" s="13">
        <v>4</v>
      </c>
      <c r="H33" s="13">
        <v>6</v>
      </c>
      <c r="I33" s="13">
        <v>9</v>
      </c>
      <c r="J33" s="13">
        <v>3</v>
      </c>
    </row>
    <row r="34" spans="1:10" ht="15" hidden="1" customHeight="1" x14ac:dyDescent="0.35">
      <c r="A34" s="6" t="str">
        <f>MID(C34,2,FIND(")",C34,1)-5)</f>
        <v xml:space="preserve">4.6.11.1 </v>
      </c>
      <c r="B34" t="str">
        <f>IF(ISNUMBER(FIND("[PASSED]",C34,1)),"PASSED","FAILED")</f>
        <v>PASSED</v>
      </c>
      <c r="C34" s="16" t="s">
        <v>392</v>
      </c>
      <c r="D34" s="6"/>
      <c r="G34" s="13">
        <v>4</v>
      </c>
      <c r="H34" s="13">
        <v>6</v>
      </c>
      <c r="I34" s="13">
        <v>11</v>
      </c>
      <c r="J34" s="13">
        <v>1</v>
      </c>
    </row>
    <row r="35" spans="1:10" ht="15" hidden="1" customHeight="1" x14ac:dyDescent="0.35">
      <c r="A35" s="6" t="str">
        <f>MID(C35,2,FIND(")",C35,1)-5)</f>
        <v xml:space="preserve">4.6.17.1 </v>
      </c>
      <c r="B35" t="str">
        <f>IF(ISNUMBER(FIND("[PASSED]",C35,1)),"PASSED","FAILED")</f>
        <v>PASSED</v>
      </c>
      <c r="C35" s="16" t="s">
        <v>503</v>
      </c>
      <c r="G35" s="13">
        <v>4</v>
      </c>
      <c r="H35" s="13">
        <v>6</v>
      </c>
      <c r="I35" s="13">
        <v>17</v>
      </c>
      <c r="J35" s="13">
        <v>1</v>
      </c>
    </row>
    <row r="36" spans="1:10" ht="15" hidden="1" customHeight="1" x14ac:dyDescent="0.35">
      <c r="A36" s="6" t="str">
        <f>MID(C36,2,FIND(")",C36,1)-5)</f>
        <v xml:space="preserve">4.6.17.2 </v>
      </c>
      <c r="B36" t="str">
        <f>IF(ISNUMBER(FIND("[PASSED]",C36,1)),"PASSED","FAILED")</f>
        <v>PASSED</v>
      </c>
      <c r="C36" s="16" t="s">
        <v>389</v>
      </c>
      <c r="G36" s="13">
        <v>4</v>
      </c>
      <c r="H36" s="13">
        <v>6</v>
      </c>
      <c r="I36" s="13">
        <v>17</v>
      </c>
      <c r="J36" s="13">
        <v>2</v>
      </c>
    </row>
    <row r="37" spans="1:10" ht="15" hidden="1" customHeight="1" x14ac:dyDescent="0.35">
      <c r="A37" s="6" t="str">
        <f>MID(C37,2,FIND(")",C37,1)-5)</f>
        <v xml:space="preserve">4.6.18.1 </v>
      </c>
      <c r="B37" t="str">
        <f>IF(ISNUMBER(FIND("[PASSED]",C37,1)),"PASSED","FAILED")</f>
        <v>PASSED</v>
      </c>
      <c r="C37" s="16" t="s">
        <v>95</v>
      </c>
      <c r="D37" s="6"/>
      <c r="G37" s="13">
        <v>4</v>
      </c>
      <c r="H37" s="13">
        <v>6</v>
      </c>
      <c r="I37" s="13">
        <v>18</v>
      </c>
      <c r="J37" s="13">
        <v>1</v>
      </c>
    </row>
    <row r="38" spans="1:10" ht="15" hidden="1" customHeight="1" x14ac:dyDescent="0.35">
      <c r="A38" s="6" t="str">
        <f>MID(C38,2,FIND(")",C38,1)-5)</f>
        <v xml:space="preserve">4.6.18.2 </v>
      </c>
      <c r="B38" t="str">
        <f>IF(ISNUMBER(FIND("[PASSED]",C38,1)),"PASSED","FAILED")</f>
        <v>PASSED</v>
      </c>
      <c r="C38" s="16" t="s">
        <v>232</v>
      </c>
      <c r="D38" s="6"/>
      <c r="G38" s="13">
        <v>4</v>
      </c>
      <c r="H38" s="13">
        <v>6</v>
      </c>
      <c r="I38" s="13">
        <v>18</v>
      </c>
      <c r="J38" s="13">
        <v>2</v>
      </c>
    </row>
    <row r="39" spans="1:10" ht="15" hidden="1" customHeight="1" x14ac:dyDescent="0.35">
      <c r="A39" s="6" t="str">
        <f>MID(C39,2,FIND(")",C39,1)-5)</f>
        <v xml:space="preserve">4.7.1 </v>
      </c>
      <c r="B39" t="str">
        <f>IF(ISNUMBER(FIND("[PASSED]",C39,1)),"PASSED","FAILED")</f>
        <v>PASSED</v>
      </c>
      <c r="C39" s="16" t="s">
        <v>78</v>
      </c>
      <c r="D39" s="6"/>
      <c r="G39" s="13">
        <v>4</v>
      </c>
      <c r="H39" s="13">
        <v>7</v>
      </c>
      <c r="I39" s="13">
        <v>1</v>
      </c>
    </row>
    <row r="40" spans="1:10" ht="15" hidden="1" customHeight="1" x14ac:dyDescent="0.35">
      <c r="A40" s="6" t="str">
        <f>MID(C40,2,FIND(")",C40,1)-5)</f>
        <v xml:space="preserve">4.7.2 </v>
      </c>
      <c r="B40" t="str">
        <f>IF(ISNUMBER(FIND("[PASSED]",C40,1)),"PASSED","FAILED")</f>
        <v>PASSED</v>
      </c>
      <c r="C40" s="16" t="s">
        <v>308</v>
      </c>
      <c r="D40" s="6"/>
      <c r="G40" s="13">
        <v>4</v>
      </c>
      <c r="H40" s="13">
        <v>7</v>
      </c>
      <c r="I40" s="13">
        <v>2</v>
      </c>
    </row>
    <row r="41" spans="1:10" ht="15" hidden="1" customHeight="1" x14ac:dyDescent="0.35">
      <c r="A41" s="6" t="str">
        <f>MID(C41,2,FIND(")",C41,1)-5)</f>
        <v xml:space="preserve">4.7.3 </v>
      </c>
      <c r="B41" t="str">
        <f>IF(ISNUMBER(FIND("[PASSED]",C41,1)),"PASSED","FAILED")</f>
        <v>PASSED</v>
      </c>
      <c r="C41" s="16" t="s">
        <v>238</v>
      </c>
      <c r="D41" s="6"/>
      <c r="G41" s="13">
        <v>4</v>
      </c>
      <c r="H41" s="13">
        <v>7</v>
      </c>
      <c r="I41" s="13">
        <v>3</v>
      </c>
    </row>
    <row r="42" spans="1:10" ht="15" hidden="1" customHeight="1" x14ac:dyDescent="0.35">
      <c r="A42" s="6" t="str">
        <f>MID(C42,2,FIND(")",C42,1)-5)</f>
        <v xml:space="preserve">4.7.4 </v>
      </c>
      <c r="B42" t="str">
        <f>IF(ISNUMBER(FIND("[PASSED]",C42,1)),"PASSED","FAILED")</f>
        <v>PASSED</v>
      </c>
      <c r="C42" s="16" t="s">
        <v>338</v>
      </c>
      <c r="D42" s="6"/>
      <c r="G42" s="13">
        <v>4</v>
      </c>
      <c r="H42" s="13">
        <v>7</v>
      </c>
      <c r="I42" s="13">
        <v>4</v>
      </c>
    </row>
    <row r="43" spans="1:10" ht="15" hidden="1" customHeight="1" x14ac:dyDescent="0.35">
      <c r="A43" s="6" t="str">
        <f>MID(C43,2,FIND(")",C43,1)-5)</f>
        <v xml:space="preserve">4.7.5 </v>
      </c>
      <c r="B43" t="str">
        <f>IF(ISNUMBER(FIND("[PASSED]",C43,1)),"PASSED","FAILED")</f>
        <v>PASSED</v>
      </c>
      <c r="C43" s="16" t="s">
        <v>294</v>
      </c>
      <c r="D43" s="6"/>
      <c r="G43" s="13">
        <v>4</v>
      </c>
      <c r="H43" s="13">
        <v>7</v>
      </c>
      <c r="I43" s="13">
        <v>5</v>
      </c>
    </row>
    <row r="44" spans="1:10" ht="15" hidden="1" customHeight="1" x14ac:dyDescent="0.35">
      <c r="A44" s="6" t="str">
        <f>MID(C44,2,FIND(")",C44,1)-5)</f>
        <v xml:space="preserve">4.7.6 </v>
      </c>
      <c r="B44" t="str">
        <f>IF(ISNUMBER(FIND("[PASSED]",C44,1)),"PASSED","FAILED")</f>
        <v>PASSED</v>
      </c>
      <c r="C44" s="16" t="s">
        <v>147</v>
      </c>
      <c r="D44" s="6"/>
      <c r="G44" s="13">
        <v>4</v>
      </c>
      <c r="H44" s="13">
        <v>7</v>
      </c>
      <c r="I44" s="13">
        <v>6</v>
      </c>
    </row>
    <row r="45" spans="1:10" ht="15" hidden="1" customHeight="1" x14ac:dyDescent="0.35">
      <c r="A45" s="6" t="str">
        <f>MID(C45,2,FIND(")",C45,1)-5)</f>
        <v xml:space="preserve">4.7.7 </v>
      </c>
      <c r="B45" t="str">
        <f>IF(ISNUMBER(FIND("[PASSED]",C45,1)),"PASSED","FAILED")</f>
        <v>PASSED</v>
      </c>
      <c r="C45" s="16" t="s">
        <v>125</v>
      </c>
      <c r="D45" s="6"/>
      <c r="G45" s="13">
        <v>4</v>
      </c>
      <c r="H45" s="13">
        <v>7</v>
      </c>
      <c r="I45" s="13">
        <v>7</v>
      </c>
    </row>
    <row r="46" spans="1:10" ht="15" hidden="1" customHeight="1" x14ac:dyDescent="0.35">
      <c r="A46" s="6" t="str">
        <f>MID(C46,2,FIND(")",C46,1)-5)</f>
        <v xml:space="preserve">4.7.8 </v>
      </c>
      <c r="B46" t="str">
        <f>IF(ISNUMBER(FIND("[PASSED]",C46,1)),"PASSED","FAILED")</f>
        <v>PASSED</v>
      </c>
      <c r="C46" s="16" t="s">
        <v>249</v>
      </c>
      <c r="D46" s="6"/>
      <c r="G46" s="13">
        <v>4</v>
      </c>
      <c r="H46" s="13">
        <v>7</v>
      </c>
      <c r="I46" s="13">
        <v>8</v>
      </c>
    </row>
    <row r="47" spans="1:10" ht="15" hidden="1" customHeight="1" x14ac:dyDescent="0.35">
      <c r="A47" s="6" t="str">
        <f>MID(C47,2,FIND(")",C47,1)-5)</f>
        <v xml:space="preserve">4.7.9 </v>
      </c>
      <c r="B47" t="str">
        <f>IF(ISNUMBER(FIND("[PASSED]",C47,1)),"PASSED","FAILED")</f>
        <v>PASSED</v>
      </c>
      <c r="C47" s="16" t="s">
        <v>43</v>
      </c>
      <c r="D47" s="6"/>
      <c r="G47" s="13">
        <v>4</v>
      </c>
      <c r="H47" s="13">
        <v>7</v>
      </c>
      <c r="I47" s="13">
        <v>9</v>
      </c>
    </row>
    <row r="48" spans="1:10" ht="15" hidden="1" customHeight="1" x14ac:dyDescent="0.35">
      <c r="A48" s="6" t="str">
        <f>MID(C48,2,FIND(")",C48,1)-5)</f>
        <v xml:space="preserve">4.7.10 </v>
      </c>
      <c r="B48" t="str">
        <f>IF(ISNUMBER(FIND("[PASSED]",C48,1)),"PASSED","FAILED")</f>
        <v>PASSED</v>
      </c>
      <c r="C48" s="16" t="s">
        <v>293</v>
      </c>
      <c r="D48" s="6"/>
      <c r="G48" s="13">
        <v>4</v>
      </c>
      <c r="H48" s="13">
        <v>7</v>
      </c>
      <c r="I48" s="13">
        <v>10</v>
      </c>
    </row>
    <row r="49" spans="1:11" ht="15" hidden="1" customHeight="1" x14ac:dyDescent="0.35">
      <c r="A49" s="6" t="str">
        <f>MID(C49,2,FIND(")",C49,1)-5)</f>
        <v xml:space="preserve">4.7.11 </v>
      </c>
      <c r="B49" t="str">
        <f>IF(ISNUMBER(FIND("[PASSED]",C49,1)),"PASSED","FAILED")</f>
        <v>PASSED</v>
      </c>
      <c r="C49" s="16" t="s">
        <v>321</v>
      </c>
      <c r="D49" s="6"/>
      <c r="G49" s="13">
        <v>4</v>
      </c>
      <c r="H49" s="13">
        <v>7</v>
      </c>
      <c r="I49" s="13">
        <v>11</v>
      </c>
    </row>
    <row r="50" spans="1:11" ht="15" hidden="1" customHeight="1" x14ac:dyDescent="0.35">
      <c r="A50" s="6" t="str">
        <f>MID(C50,2,FIND(")",C50,1)-5)</f>
        <v xml:space="preserve">4.9.1.1 </v>
      </c>
      <c r="B50" t="str">
        <f>IF(ISNUMBER(FIND("[PASSED]",C50,1)),"PASSED","FAILED")</f>
        <v>PASSED</v>
      </c>
      <c r="C50" s="16" t="s">
        <v>183</v>
      </c>
      <c r="D50" s="6"/>
      <c r="G50" s="13">
        <v>4</v>
      </c>
      <c r="H50" s="13">
        <v>9</v>
      </c>
      <c r="I50" s="13">
        <v>1</v>
      </c>
      <c r="J50" s="13">
        <v>1</v>
      </c>
    </row>
    <row r="51" spans="1:11" ht="15" hidden="1" customHeight="1" x14ac:dyDescent="0.35">
      <c r="A51" s="6" t="str">
        <f>MID(C51,2,FIND(")",C51,1)-5)</f>
        <v xml:space="preserve">4.10.4.1 </v>
      </c>
      <c r="B51" t="str">
        <f>IF(ISNUMBER(FIND("[PASSED]",C51,1)),"PASSED","FAILED")</f>
        <v>PASSED</v>
      </c>
      <c r="C51" s="16" t="s">
        <v>204</v>
      </c>
      <c r="D51" s="6"/>
      <c r="G51" s="13">
        <v>4</v>
      </c>
      <c r="H51" s="13">
        <v>10</v>
      </c>
      <c r="I51" s="13">
        <v>4</v>
      </c>
      <c r="J51" s="13">
        <v>1</v>
      </c>
    </row>
    <row r="52" spans="1:11" ht="15" hidden="1" customHeight="1" x14ac:dyDescent="0.35">
      <c r="A52" s="6" t="str">
        <f>MID(C52,2,FIND(")",C52,1)-5)</f>
        <v xml:space="preserve">4.10.5.1 </v>
      </c>
      <c r="B52" t="str">
        <f>IF(ISNUMBER(FIND("[PASSED]",C52,1)),"PASSED","FAILED")</f>
        <v>PASSED</v>
      </c>
      <c r="C52" s="16" t="s">
        <v>17</v>
      </c>
      <c r="D52" s="6"/>
      <c r="G52" s="13">
        <v>4</v>
      </c>
      <c r="H52" s="13">
        <v>10</v>
      </c>
      <c r="I52" s="13">
        <v>5</v>
      </c>
      <c r="J52" s="13">
        <v>1</v>
      </c>
    </row>
    <row r="53" spans="1:11" ht="15" hidden="1" customHeight="1" x14ac:dyDescent="0.35">
      <c r="A53" s="6" t="str">
        <f>MID(C53,2,FIND(")",C53,1)-5)</f>
        <v xml:space="preserve">4.10.5.2 </v>
      </c>
      <c r="B53" t="str">
        <f>IF(ISNUMBER(FIND("[PASSED]",C53,1)),"PASSED","FAILED")</f>
        <v>PASSED</v>
      </c>
      <c r="C53" s="16" t="s">
        <v>306</v>
      </c>
      <c r="D53" s="6"/>
      <c r="G53" s="13">
        <v>4</v>
      </c>
      <c r="H53" s="13">
        <v>10</v>
      </c>
      <c r="I53" s="13">
        <v>5</v>
      </c>
      <c r="J53" s="13">
        <v>2</v>
      </c>
    </row>
    <row r="54" spans="1:11" ht="15" customHeight="1" x14ac:dyDescent="0.35">
      <c r="A54" s="6" t="str">
        <f>MID(C54,2,FIND(")",C54,1)-5)</f>
        <v xml:space="preserve">4.10.9.1.1 </v>
      </c>
      <c r="B54" t="str">
        <f>IF(ISNUMBER(FIND("[PASSED]",C54,1)),"PASSED","FAILED")</f>
        <v>FAILED</v>
      </c>
      <c r="C54" s="16" t="s">
        <v>427</v>
      </c>
      <c r="D54" s="20" t="s">
        <v>497</v>
      </c>
      <c r="F54" s="6" t="s">
        <v>479</v>
      </c>
      <c r="G54" s="13">
        <v>4</v>
      </c>
      <c r="H54" s="13">
        <v>10</v>
      </c>
      <c r="I54" s="13">
        <v>9</v>
      </c>
      <c r="J54" s="13">
        <v>1</v>
      </c>
      <c r="K54" s="13">
        <v>1</v>
      </c>
    </row>
    <row r="55" spans="1:11" ht="15" customHeight="1" x14ac:dyDescent="0.35">
      <c r="A55" s="6" t="str">
        <f>MID(C55,2,FIND(")",C55,1)-5)</f>
        <v xml:space="preserve">4.10.9.1.2 </v>
      </c>
      <c r="B55" t="str">
        <f>IF(ISNUMBER(FIND("[PASSED]",C55,1)),"PASSED","FAILED")</f>
        <v>FAILED</v>
      </c>
      <c r="C55" s="16" t="s">
        <v>440</v>
      </c>
      <c r="D55" s="20" t="s">
        <v>497</v>
      </c>
      <c r="F55" s="6" t="s">
        <v>479</v>
      </c>
      <c r="G55" s="13">
        <v>4</v>
      </c>
      <c r="H55" s="13">
        <v>10</v>
      </c>
      <c r="I55" s="13">
        <v>9</v>
      </c>
      <c r="J55" s="13">
        <v>1</v>
      </c>
      <c r="K55" s="13">
        <v>2</v>
      </c>
    </row>
    <row r="56" spans="1:11" ht="15" customHeight="1" x14ac:dyDescent="0.35">
      <c r="A56" s="6" t="str">
        <f>MID(C56,2,FIND(")",C56,1)-5)</f>
        <v xml:space="preserve">4.10.9.1.3 </v>
      </c>
      <c r="B56" t="str">
        <f>IF(ISNUMBER(FIND("[PASSED]",C56,1)),"PASSED","FAILED")</f>
        <v>FAILED</v>
      </c>
      <c r="C56" s="16" t="s">
        <v>351</v>
      </c>
      <c r="D56" s="20" t="s">
        <v>497</v>
      </c>
      <c r="F56" s="6" t="s">
        <v>479</v>
      </c>
      <c r="G56" s="13">
        <v>4</v>
      </c>
      <c r="H56" s="13">
        <v>10</v>
      </c>
      <c r="I56" s="13">
        <v>9</v>
      </c>
      <c r="J56" s="13">
        <v>1</v>
      </c>
      <c r="K56" s="13">
        <v>3</v>
      </c>
    </row>
    <row r="57" spans="1:11" ht="15" hidden="1" customHeight="1" x14ac:dyDescent="0.35">
      <c r="A57" s="6" t="str">
        <f>MID(C57,2,FIND(")",C57,1)-5)</f>
        <v xml:space="preserve">4.10.9.2 </v>
      </c>
      <c r="B57" t="str">
        <f>IF(ISNUMBER(FIND("[PASSED]",C57,1)),"PASSED","FAILED")</f>
        <v>PASSED</v>
      </c>
      <c r="C57" s="16" t="s">
        <v>288</v>
      </c>
      <c r="D57" s="6"/>
      <c r="G57" s="13">
        <v>4</v>
      </c>
      <c r="H57" s="13">
        <v>10</v>
      </c>
      <c r="I57" s="13">
        <v>9</v>
      </c>
      <c r="J57" s="13">
        <v>2</v>
      </c>
    </row>
    <row r="58" spans="1:11" ht="15" hidden="1" customHeight="1" x14ac:dyDescent="0.35">
      <c r="A58" s="6" t="str">
        <f>MID(C58,2,FIND(")",C58,1)-5)</f>
        <v xml:space="preserve">4.10.13.1 </v>
      </c>
      <c r="B58" t="str">
        <f>IF(ISNUMBER(FIND("[PASSED]",C58,1)),"PASSED","FAILED")</f>
        <v>PASSED</v>
      </c>
      <c r="C58" s="16" t="s">
        <v>252</v>
      </c>
      <c r="D58" s="6"/>
      <c r="G58" s="13">
        <v>4</v>
      </c>
      <c r="H58" s="13">
        <v>10</v>
      </c>
      <c r="I58" s="13">
        <v>13</v>
      </c>
      <c r="J58" s="13">
        <v>1</v>
      </c>
    </row>
    <row r="59" spans="1:11" ht="15" hidden="1" customHeight="1" x14ac:dyDescent="0.35">
      <c r="A59" s="6" t="str">
        <f>MID(C59,2,FIND(")",C59,1)-5)</f>
        <v xml:space="preserve">4.10.19.1 </v>
      </c>
      <c r="B59" t="str">
        <f>IF(ISNUMBER(FIND("[PASSED]",C59,1)),"PASSED","FAILED")</f>
        <v>PASSED</v>
      </c>
      <c r="C59" s="16" t="s">
        <v>93</v>
      </c>
      <c r="G59" s="13">
        <v>4</v>
      </c>
      <c r="H59" s="13">
        <v>10</v>
      </c>
      <c r="I59" s="13">
        <v>19</v>
      </c>
      <c r="J59" s="13">
        <v>1</v>
      </c>
    </row>
    <row r="60" spans="1:11" ht="15" hidden="1" customHeight="1" x14ac:dyDescent="0.35">
      <c r="A60" s="6" t="str">
        <f>MID(C60,2,FIND(")",C60,1)-5)</f>
        <v xml:space="preserve">4.10.19.2 </v>
      </c>
      <c r="B60" t="str">
        <f>IF(ISNUMBER(FIND("[PASSED]",C60,1)),"PASSED","FAILED")</f>
        <v>PASSED</v>
      </c>
      <c r="C60" s="16" t="s">
        <v>18</v>
      </c>
      <c r="D60" s="6"/>
      <c r="G60" s="13">
        <v>4</v>
      </c>
      <c r="H60" s="13">
        <v>10</v>
      </c>
      <c r="I60" s="13">
        <v>19</v>
      </c>
      <c r="J60" s="13">
        <v>2</v>
      </c>
    </row>
    <row r="61" spans="1:11" ht="15" hidden="1" customHeight="1" x14ac:dyDescent="0.35">
      <c r="A61" s="6" t="str">
        <f>MID(C61,2,FIND(")",C61,1)-5)</f>
        <v xml:space="preserve">4.10.20.1.1 </v>
      </c>
      <c r="B61" t="str">
        <f>IF(ISNUMBER(FIND("[PASSED]",C61,1)),"PASSED","FAILED")</f>
        <v>PASSED</v>
      </c>
      <c r="C61" s="16" t="s">
        <v>422</v>
      </c>
      <c r="G61" s="13">
        <v>4</v>
      </c>
      <c r="H61" s="13">
        <v>10</v>
      </c>
      <c r="I61" s="13">
        <v>20</v>
      </c>
      <c r="J61" s="13">
        <v>1</v>
      </c>
      <c r="K61" s="13">
        <v>1</v>
      </c>
    </row>
    <row r="62" spans="1:11" ht="15" hidden="1" customHeight="1" x14ac:dyDescent="0.35">
      <c r="A62" s="6" t="str">
        <f>MID(C62,2,FIND(")",C62,1)-5)</f>
        <v xml:space="preserve">4.10.20.1.2 </v>
      </c>
      <c r="B62" t="str">
        <f>IF(ISNUMBER(FIND("[PASSED]",C62,1)),"PASSED","FAILED")</f>
        <v>PASSED</v>
      </c>
      <c r="C62" s="16" t="s">
        <v>261</v>
      </c>
      <c r="D62" s="6"/>
      <c r="G62" s="13">
        <v>4</v>
      </c>
      <c r="H62" s="13">
        <v>10</v>
      </c>
      <c r="I62" s="13">
        <v>20</v>
      </c>
      <c r="J62" s="13">
        <v>1</v>
      </c>
      <c r="K62" s="13">
        <v>2</v>
      </c>
    </row>
    <row r="63" spans="1:11" ht="15" hidden="1" customHeight="1" x14ac:dyDescent="0.35">
      <c r="A63" s="6" t="str">
        <f>MID(C63,2,FIND(")",C63,1)-5)</f>
        <v xml:space="preserve">4.10.20.1.3 </v>
      </c>
      <c r="B63" t="str">
        <f>IF(ISNUMBER(FIND("[PASSED]",C63,1)),"PASSED","FAILED")</f>
        <v>PASSED</v>
      </c>
      <c r="C63" s="16" t="s">
        <v>449</v>
      </c>
      <c r="D63" s="6"/>
      <c r="G63" s="13">
        <v>4</v>
      </c>
      <c r="H63" s="13">
        <v>10</v>
      </c>
      <c r="I63" s="13">
        <v>20</v>
      </c>
      <c r="J63" s="13">
        <v>1</v>
      </c>
      <c r="K63" s="13">
        <v>3</v>
      </c>
    </row>
    <row r="64" spans="1:11" ht="15" hidden="1" customHeight="1" x14ac:dyDescent="0.35">
      <c r="A64" s="6" t="str">
        <f>MID(C64,2,FIND(")",C64,1)-5)</f>
        <v xml:space="preserve">4.10.20.1.4 </v>
      </c>
      <c r="B64" t="str">
        <f>IF(ISNUMBER(FIND("[PASSED]",C64,1)),"PASSED","FAILED")</f>
        <v>PASSED</v>
      </c>
      <c r="C64" s="16" t="s">
        <v>378</v>
      </c>
      <c r="D64" s="6"/>
      <c r="G64" s="13">
        <v>4</v>
      </c>
      <c r="H64" s="13">
        <v>10</v>
      </c>
      <c r="I64" s="13">
        <v>20</v>
      </c>
      <c r="J64" s="13">
        <v>1</v>
      </c>
      <c r="K64" s="13">
        <v>4</v>
      </c>
    </row>
    <row r="65" spans="1:11" ht="15" hidden="1" customHeight="1" x14ac:dyDescent="0.35">
      <c r="A65" s="6" t="str">
        <f>MID(C65,2,FIND(")",C65,1)-5)</f>
        <v xml:space="preserve">4.10.20.1.5 </v>
      </c>
      <c r="B65" t="str">
        <f>IF(ISNUMBER(FIND("[PASSED]",C65,1)),"PASSED","FAILED")</f>
        <v>PASSED</v>
      </c>
      <c r="C65" s="16" t="s">
        <v>67</v>
      </c>
      <c r="D65" s="6"/>
      <c r="G65" s="13">
        <v>4</v>
      </c>
      <c r="H65" s="13">
        <v>10</v>
      </c>
      <c r="I65" s="13">
        <v>20</v>
      </c>
      <c r="J65" s="13">
        <v>1</v>
      </c>
      <c r="K65" s="13">
        <v>5</v>
      </c>
    </row>
    <row r="66" spans="1:11" ht="15" customHeight="1" x14ac:dyDescent="0.35">
      <c r="A66" s="6" t="str">
        <f>MID(C66,2,FIND(")",C66,1)-5)</f>
        <v xml:space="preserve">4.10.20.1.6 </v>
      </c>
      <c r="B66" t="str">
        <f>IF(ISNUMBER(FIND("[PASSED]",C66,1)),"PASSED","FAILED")</f>
        <v>FAILED</v>
      </c>
      <c r="C66" s="16" t="s">
        <v>365</v>
      </c>
      <c r="D66" s="13" t="s">
        <v>472</v>
      </c>
      <c r="E66" s="6" t="s">
        <v>333</v>
      </c>
      <c r="F66" s="6" t="s">
        <v>479</v>
      </c>
      <c r="G66" s="13">
        <v>4</v>
      </c>
      <c r="H66" s="13">
        <v>10</v>
      </c>
      <c r="I66" s="13">
        <v>20</v>
      </c>
      <c r="J66" s="13">
        <v>1</v>
      </c>
      <c r="K66" s="13">
        <v>6</v>
      </c>
    </row>
    <row r="67" spans="1:11" ht="15" hidden="1" customHeight="1" x14ac:dyDescent="0.35">
      <c r="A67" s="6" t="str">
        <f>MID(C67,2,FIND(")",C67,1)-5)</f>
        <v xml:space="preserve">4.10.20.1.7 </v>
      </c>
      <c r="B67" t="str">
        <f>IF(ISNUMBER(FIND("[PASSED]",C67,1)),"PASSED","FAILED")</f>
        <v>PASSED</v>
      </c>
      <c r="C67" s="16" t="s">
        <v>360</v>
      </c>
      <c r="D67" s="6"/>
      <c r="G67" s="13">
        <v>4</v>
      </c>
      <c r="H67" s="13">
        <v>10</v>
      </c>
      <c r="I67" s="13">
        <v>20</v>
      </c>
      <c r="J67" s="13">
        <v>1</v>
      </c>
      <c r="K67" s="13">
        <v>7</v>
      </c>
    </row>
    <row r="68" spans="1:11" ht="15" hidden="1" customHeight="1" x14ac:dyDescent="0.35">
      <c r="A68" s="6" t="str">
        <f>MID(C68,2,FIND(")",C68,1)-5)</f>
        <v xml:space="preserve">4.10.20.1.8 </v>
      </c>
      <c r="B68" t="str">
        <f>IF(ISNUMBER(FIND("[PASSED]",C68,1)),"PASSED","FAILED")</f>
        <v>PASSED</v>
      </c>
      <c r="C68" s="16" t="s">
        <v>361</v>
      </c>
      <c r="D68" s="6"/>
      <c r="G68" s="13">
        <v>4</v>
      </c>
      <c r="H68" s="13">
        <v>10</v>
      </c>
      <c r="I68" s="13">
        <v>20</v>
      </c>
      <c r="J68" s="13">
        <v>1</v>
      </c>
      <c r="K68" s="13">
        <v>8</v>
      </c>
    </row>
    <row r="69" spans="1:11" ht="15" hidden="1" customHeight="1" x14ac:dyDescent="0.35">
      <c r="A69" s="6" t="str">
        <f>MID(C69,2,FIND(")",C69,1)-5)</f>
        <v xml:space="preserve">4.10.20.1.9 </v>
      </c>
      <c r="B69" t="str">
        <f>IF(ISNUMBER(FIND("[PASSED]",C69,1)),"PASSED","FAILED")</f>
        <v>PASSED</v>
      </c>
      <c r="C69" s="16" t="s">
        <v>383</v>
      </c>
      <c r="G69" s="13">
        <v>4</v>
      </c>
      <c r="H69" s="13">
        <v>10</v>
      </c>
      <c r="I69" s="13">
        <v>20</v>
      </c>
      <c r="J69" s="13">
        <v>1</v>
      </c>
      <c r="K69" s="13">
        <v>9</v>
      </c>
    </row>
    <row r="70" spans="1:11" ht="15" hidden="1" customHeight="1" x14ac:dyDescent="0.35">
      <c r="A70" s="6" t="str">
        <f>MID(C70,2,FIND(")",C70,1)-5)</f>
        <v xml:space="preserve">4.10.20.1.10 </v>
      </c>
      <c r="B70" t="str">
        <f>IF(ISNUMBER(FIND("[PASSED]",C70,1)),"PASSED","FAILED")</f>
        <v>PASSED</v>
      </c>
      <c r="C70" s="16" t="s">
        <v>396</v>
      </c>
      <c r="D70" s="6"/>
      <c r="G70" s="13">
        <v>4</v>
      </c>
      <c r="H70" s="13">
        <v>10</v>
      </c>
      <c r="I70" s="13">
        <v>20</v>
      </c>
      <c r="J70" s="13">
        <v>1</v>
      </c>
      <c r="K70" s="13">
        <v>10</v>
      </c>
    </row>
    <row r="71" spans="1:11" ht="15" hidden="1" customHeight="1" x14ac:dyDescent="0.35">
      <c r="A71" s="6" t="str">
        <f>MID(C71,2,FIND(")",C71,1)-5)</f>
        <v xml:space="preserve">4.10.20.1.11 </v>
      </c>
      <c r="B71" t="str">
        <f>IF(ISNUMBER(FIND("[PASSED]",C71,1)),"PASSED","FAILED")</f>
        <v>PASSED</v>
      </c>
      <c r="C71" s="16" t="s">
        <v>461</v>
      </c>
      <c r="D71" s="6"/>
      <c r="G71" s="13">
        <v>4</v>
      </c>
      <c r="H71" s="13">
        <v>10</v>
      </c>
      <c r="I71" s="13">
        <v>20</v>
      </c>
      <c r="J71" s="13">
        <v>1</v>
      </c>
      <c r="K71" s="13">
        <v>11</v>
      </c>
    </row>
    <row r="72" spans="1:11" ht="15" hidden="1" customHeight="1" x14ac:dyDescent="0.35">
      <c r="A72" s="6" t="str">
        <f>MID(C72,2,FIND(")",C72,1)-5)</f>
        <v xml:space="preserve">4.10.20.1.12 </v>
      </c>
      <c r="B72" t="str">
        <f>IF(ISNUMBER(FIND("[PASSED]",C72,1)),"PASSED","FAILED")</f>
        <v>PASSED</v>
      </c>
      <c r="C72" s="16" t="s">
        <v>463</v>
      </c>
      <c r="G72" s="13">
        <v>4</v>
      </c>
      <c r="H72" s="13">
        <v>10</v>
      </c>
      <c r="I72" s="13">
        <v>20</v>
      </c>
      <c r="J72" s="13">
        <v>1</v>
      </c>
      <c r="K72" s="13">
        <v>12</v>
      </c>
    </row>
    <row r="73" spans="1:11" ht="15" hidden="1" customHeight="1" x14ac:dyDescent="0.35">
      <c r="A73" s="6" t="str">
        <f>MID(C73,2,FIND(")",C73,1)-5)</f>
        <v xml:space="preserve">4.10.20.1.13 </v>
      </c>
      <c r="B73" t="str">
        <f>IF(ISNUMBER(FIND("[PASSED]",C73,1)),"PASSED","FAILED")</f>
        <v>PASSED</v>
      </c>
      <c r="C73" s="16" t="s">
        <v>501</v>
      </c>
      <c r="D73" s="6"/>
      <c r="G73" s="13">
        <v>4</v>
      </c>
      <c r="H73" s="13">
        <v>10</v>
      </c>
      <c r="I73" s="13">
        <v>20</v>
      </c>
      <c r="J73" s="13">
        <v>1</v>
      </c>
      <c r="K73" s="13">
        <v>13</v>
      </c>
    </row>
    <row r="74" spans="1:11" ht="15" hidden="1" customHeight="1" x14ac:dyDescent="0.35">
      <c r="A74" s="6" t="str">
        <f>MID(C74,2,FIND(")",C74,1)-5)</f>
        <v xml:space="preserve">4.10.23.1 </v>
      </c>
      <c r="B74" t="str">
        <f>IF(ISNUMBER(FIND("[PASSED]",C74,1)),"PASSED","FAILED")</f>
        <v>PASSED</v>
      </c>
      <c r="C74" s="16" t="s">
        <v>502</v>
      </c>
      <c r="G74" s="13">
        <v>4</v>
      </c>
      <c r="H74" s="13">
        <v>10</v>
      </c>
      <c r="I74" s="13">
        <v>23</v>
      </c>
      <c r="J74" s="13">
        <v>1</v>
      </c>
    </row>
    <row r="75" spans="1:11" ht="15" hidden="1" customHeight="1" x14ac:dyDescent="0.35">
      <c r="A75" s="6" t="str">
        <f>MID(C75,2,FIND(")",C75,1)-5)</f>
        <v xml:space="preserve">4.10.25.1 </v>
      </c>
      <c r="B75" t="str">
        <f>IF(ISNUMBER(FIND("[PASSED]",C75,1)),"PASSED","FAILED")</f>
        <v>PASSED</v>
      </c>
      <c r="C75" s="16" t="s">
        <v>443</v>
      </c>
      <c r="G75" s="13">
        <v>4</v>
      </c>
      <c r="H75" s="13">
        <v>10</v>
      </c>
      <c r="I75" s="13">
        <v>25</v>
      </c>
      <c r="J75" s="13">
        <v>1</v>
      </c>
    </row>
    <row r="76" spans="1:11" ht="15" hidden="1" customHeight="1" x14ac:dyDescent="0.35">
      <c r="A76" s="6" t="str">
        <f>MID(C76,2,FIND(")",C76,1)-5)</f>
        <v xml:space="preserve">4.10.26.1 </v>
      </c>
      <c r="B76" t="str">
        <f>IF(ISNUMBER(FIND("[PASSED]",C76,1)),"PASSED","FAILED")</f>
        <v>PASSED</v>
      </c>
      <c r="C76" s="16" t="s">
        <v>126</v>
      </c>
      <c r="G76" s="13">
        <v>4</v>
      </c>
      <c r="H76" s="13">
        <v>10</v>
      </c>
      <c r="I76" s="13">
        <v>26</v>
      </c>
      <c r="J76" s="13">
        <v>1</v>
      </c>
    </row>
    <row r="77" spans="1:11" ht="15" hidden="1" customHeight="1" x14ac:dyDescent="0.35">
      <c r="A77" s="6" t="str">
        <f>MID(C77,2,FIND(")",C77,1)-5)</f>
        <v xml:space="preserve">4.10.26.2 </v>
      </c>
      <c r="B77" t="str">
        <f>IF(ISNUMBER(FIND("[PASSED]",C77,1)),"PASSED","FAILED")</f>
        <v>PASSED</v>
      </c>
      <c r="C77" s="16" t="s">
        <v>237</v>
      </c>
      <c r="D77" s="6"/>
      <c r="G77" s="13">
        <v>4</v>
      </c>
      <c r="H77" s="13">
        <v>10</v>
      </c>
      <c r="I77" s="13">
        <v>26</v>
      </c>
      <c r="J77" s="13">
        <v>2</v>
      </c>
    </row>
    <row r="78" spans="1:11" ht="15" hidden="1" customHeight="1" x14ac:dyDescent="0.35">
      <c r="A78" s="6" t="str">
        <f>MID(C78,2,FIND(")",C78,1)-5)</f>
        <v xml:space="preserve">4.10.26.3 </v>
      </c>
      <c r="B78" t="str">
        <f>IF(ISNUMBER(FIND("[PASSED]",C78,1)),"PASSED","FAILED")</f>
        <v>PASSED</v>
      </c>
      <c r="C78" s="16" t="s">
        <v>272</v>
      </c>
      <c r="D78" s="6"/>
      <c r="G78" s="13">
        <v>4</v>
      </c>
      <c r="H78" s="13">
        <v>10</v>
      </c>
      <c r="I78" s="13">
        <v>26</v>
      </c>
      <c r="J78" s="13">
        <v>3</v>
      </c>
    </row>
    <row r="79" spans="1:11" ht="15" hidden="1" customHeight="1" x14ac:dyDescent="0.35">
      <c r="A79" s="6" t="str">
        <f>MID(C79,2,FIND(")",C79,1)-5)</f>
        <v xml:space="preserve">4.10.26.4 </v>
      </c>
      <c r="B79" t="str">
        <f>IF(ISNUMBER(FIND("[PASSED]",C79,1)),"PASSED","FAILED")</f>
        <v>PASSED</v>
      </c>
      <c r="C79" s="16" t="s">
        <v>105</v>
      </c>
      <c r="D79" s="6"/>
      <c r="G79" s="13">
        <v>4</v>
      </c>
      <c r="H79" s="13">
        <v>10</v>
      </c>
      <c r="I79" s="13">
        <v>26</v>
      </c>
      <c r="J79" s="13">
        <v>4</v>
      </c>
    </row>
    <row r="80" spans="1:11" ht="15" hidden="1" customHeight="1" x14ac:dyDescent="0.35">
      <c r="A80" s="6" t="str">
        <f>MID(C80,2,FIND(")",C80,1)-5)</f>
        <v xml:space="preserve">4.10.26.5 </v>
      </c>
      <c r="B80" t="str">
        <f>IF(ISNUMBER(FIND("[PASSED]",C80,1)),"PASSED","FAILED")</f>
        <v>PASSED</v>
      </c>
      <c r="C80" s="16" t="s">
        <v>19</v>
      </c>
      <c r="D80" s="6"/>
      <c r="G80" s="13">
        <v>4</v>
      </c>
      <c r="H80" s="13">
        <v>10</v>
      </c>
      <c r="I80" s="13">
        <v>26</v>
      </c>
      <c r="J80" s="13">
        <v>5</v>
      </c>
    </row>
    <row r="81" spans="1:11" ht="15" hidden="1" customHeight="1" x14ac:dyDescent="0.35">
      <c r="A81" s="6" t="str">
        <f>MID(C81,2,FIND(")",C81,1)-5)</f>
        <v xml:space="preserve">4.10.26.6 </v>
      </c>
      <c r="B81" t="str">
        <f>IF(ISNUMBER(FIND("[PASSED]",C81,1)),"PASSED","FAILED")</f>
        <v>PASSED</v>
      </c>
      <c r="C81" s="16" t="s">
        <v>172</v>
      </c>
      <c r="D81" s="6"/>
      <c r="G81" s="13">
        <v>4</v>
      </c>
      <c r="H81" s="13">
        <v>10</v>
      </c>
      <c r="I81" s="13">
        <v>26</v>
      </c>
      <c r="J81" s="13">
        <v>6</v>
      </c>
    </row>
    <row r="82" spans="1:11" ht="15" hidden="1" customHeight="1" x14ac:dyDescent="0.35">
      <c r="A82" s="6" t="str">
        <f>MID(C82,2,FIND(")",C82,1)-5)</f>
        <v xml:space="preserve">4.10.26.7 </v>
      </c>
      <c r="B82" t="str">
        <f>IF(ISNUMBER(FIND("[PASSED]",C82,1)),"PASSED","FAILED")</f>
        <v>PASSED</v>
      </c>
      <c r="C82" s="16" t="s">
        <v>320</v>
      </c>
      <c r="D82" s="6"/>
      <c r="G82" s="13">
        <v>4</v>
      </c>
      <c r="H82" s="13">
        <v>10</v>
      </c>
      <c r="I82" s="13">
        <v>26</v>
      </c>
      <c r="J82" s="13">
        <v>7</v>
      </c>
    </row>
    <row r="83" spans="1:11" ht="15" hidden="1" customHeight="1" x14ac:dyDescent="0.35">
      <c r="A83" s="6" t="str">
        <f>MID(C83,2,FIND(")",C83,1)-5)</f>
        <v xml:space="preserve">4.10.29.5.1 </v>
      </c>
      <c r="B83" t="str">
        <f>IF(ISNUMBER(FIND("[PASSED]",C83,1)),"PASSED","FAILED")</f>
        <v>PASSED</v>
      </c>
      <c r="C83" s="16" t="s">
        <v>156</v>
      </c>
      <c r="D83" s="6"/>
      <c r="G83" s="13">
        <v>4</v>
      </c>
      <c r="H83" s="13">
        <v>10</v>
      </c>
      <c r="I83" s="13">
        <v>29</v>
      </c>
      <c r="J83" s="13">
        <v>5</v>
      </c>
      <c r="K83" s="13">
        <v>1</v>
      </c>
    </row>
    <row r="84" spans="1:11" ht="15" hidden="1" customHeight="1" x14ac:dyDescent="0.35">
      <c r="A84" s="6" t="str">
        <f>MID(C84,2,FIND(")",C84,1)-5)</f>
        <v xml:space="preserve">4.10.29.5.2 </v>
      </c>
      <c r="B84" t="str">
        <f>IF(ISNUMBER(FIND("[PASSED]",C84,1)),"PASSED","FAILED")</f>
        <v>PASSED</v>
      </c>
      <c r="C84" s="16" t="s">
        <v>104</v>
      </c>
      <c r="D84" s="6"/>
      <c r="G84" s="13">
        <v>4</v>
      </c>
      <c r="H84" s="13">
        <v>10</v>
      </c>
      <c r="I84" s="13">
        <v>29</v>
      </c>
      <c r="J84" s="13">
        <v>5</v>
      </c>
      <c r="K84" s="13">
        <v>2</v>
      </c>
    </row>
    <row r="85" spans="1:11" ht="15" hidden="1" customHeight="1" x14ac:dyDescent="0.35">
      <c r="A85" s="6" t="str">
        <f>MID(C85,2,FIND(")",C85,1)-5)</f>
        <v xml:space="preserve">4.10.30.1 </v>
      </c>
      <c r="B85" t="str">
        <f>IF(ISNUMBER(FIND("[PASSED]",C85,1)),"PASSED","FAILED")</f>
        <v>PASSED</v>
      </c>
      <c r="C85" s="16" t="s">
        <v>295</v>
      </c>
      <c r="D85" s="6"/>
      <c r="G85" s="13">
        <v>4</v>
      </c>
      <c r="H85" s="13">
        <v>10</v>
      </c>
      <c r="I85" s="13">
        <v>30</v>
      </c>
      <c r="J85" s="13">
        <v>1</v>
      </c>
    </row>
    <row r="86" spans="1:11" ht="15" hidden="1" customHeight="1" x14ac:dyDescent="0.35">
      <c r="A86" s="6" t="str">
        <f>MID(C86,2,FIND(")",C86,1)-5)</f>
        <v xml:space="preserve">4.10.30.2 </v>
      </c>
      <c r="B86" t="str">
        <f>IF(ISNUMBER(FIND("[PASSED]",C86,1)),"PASSED","FAILED")</f>
        <v>PASSED</v>
      </c>
      <c r="C86" s="16" t="s">
        <v>310</v>
      </c>
      <c r="D86" s="6"/>
      <c r="G86" s="13">
        <v>4</v>
      </c>
      <c r="H86" s="13">
        <v>10</v>
      </c>
      <c r="I86" s="13">
        <v>30</v>
      </c>
      <c r="J86" s="13">
        <v>2</v>
      </c>
    </row>
    <row r="87" spans="1:11" ht="15" hidden="1" customHeight="1" x14ac:dyDescent="0.35">
      <c r="A87" s="6" t="str">
        <f>MID(C87,2,FIND(")",C87,1)-5)</f>
        <v xml:space="preserve">4.10.31.1 </v>
      </c>
      <c r="B87" t="str">
        <f>IF(ISNUMBER(FIND("[PASSED]",C87,1)),"PASSED","FAILED")</f>
        <v>PASSED</v>
      </c>
      <c r="C87" s="16" t="s">
        <v>103</v>
      </c>
      <c r="D87" s="6"/>
      <c r="G87" s="13">
        <v>4</v>
      </c>
      <c r="H87" s="13">
        <v>10</v>
      </c>
      <c r="I87" s="13">
        <v>31</v>
      </c>
      <c r="J87" s="13">
        <v>1</v>
      </c>
    </row>
    <row r="88" spans="1:11" ht="15" hidden="1" customHeight="1" x14ac:dyDescent="0.35">
      <c r="A88" s="6" t="str">
        <f>MID(C88,2,FIND(")",C88,1)-5)</f>
        <v xml:space="preserve">4.10.31.2 </v>
      </c>
      <c r="B88" t="str">
        <f>IF(ISNUMBER(FIND("[PASSED]",C88,1)),"PASSED","FAILED")</f>
        <v>PASSED</v>
      </c>
      <c r="C88" s="16" t="s">
        <v>276</v>
      </c>
      <c r="D88" s="6"/>
      <c r="G88" s="13">
        <v>4</v>
      </c>
      <c r="H88" s="13">
        <v>10</v>
      </c>
      <c r="I88" s="13">
        <v>31</v>
      </c>
      <c r="J88" s="13">
        <v>2</v>
      </c>
    </row>
    <row r="89" spans="1:11" ht="15" hidden="1" customHeight="1" x14ac:dyDescent="0.35">
      <c r="A89" s="6" t="str">
        <f>MID(C89,2,FIND(")",C89,1)-5)</f>
        <v xml:space="preserve">4.10.40.5.1 </v>
      </c>
      <c r="B89" t="str">
        <f>IF(ISNUMBER(FIND("[PASSED]",C89,1)),"PASSED","FAILED")</f>
        <v>PASSED</v>
      </c>
      <c r="C89" s="16" t="s">
        <v>358</v>
      </c>
      <c r="D89" s="6"/>
      <c r="G89" s="13">
        <v>4</v>
      </c>
      <c r="H89" s="13">
        <v>10</v>
      </c>
      <c r="I89" s="13">
        <v>40</v>
      </c>
      <c r="J89" s="13">
        <v>5</v>
      </c>
      <c r="K89" s="13">
        <v>1</v>
      </c>
    </row>
    <row r="90" spans="1:11" ht="15" hidden="1" customHeight="1" x14ac:dyDescent="0.35">
      <c r="A90" s="6" t="str">
        <f>MID(C90,2,FIND(")",C90,1)-5)</f>
        <v xml:space="preserve">4.10.44.1.1 </v>
      </c>
      <c r="B90" t="str">
        <f>IF(ISNUMBER(FIND("[PASSED]",C90,1)),"PASSED","FAILED")</f>
        <v>PASSED</v>
      </c>
      <c r="C90" s="16" t="s">
        <v>194</v>
      </c>
      <c r="D90" s="6"/>
      <c r="G90" s="13">
        <v>4</v>
      </c>
      <c r="H90" s="13">
        <v>10</v>
      </c>
      <c r="I90" s="13">
        <v>44</v>
      </c>
      <c r="J90" s="13">
        <v>1</v>
      </c>
      <c r="K90" s="13">
        <v>1</v>
      </c>
    </row>
    <row r="91" spans="1:11" ht="15" hidden="1" customHeight="1" x14ac:dyDescent="0.35">
      <c r="A91" s="6" t="str">
        <f>MID(C91,2,FIND(")",C91,1)-5)</f>
        <v xml:space="preserve">4.10.44.1.2 </v>
      </c>
      <c r="B91" t="str">
        <f>IF(ISNUMBER(FIND("[PASSED]",C91,1)),"PASSED","FAILED")</f>
        <v>PASSED</v>
      </c>
      <c r="C91" s="16" t="s">
        <v>161</v>
      </c>
      <c r="D91" s="6"/>
      <c r="G91" s="13">
        <v>4</v>
      </c>
      <c r="H91" s="13">
        <v>10</v>
      </c>
      <c r="I91" s="13">
        <v>44</v>
      </c>
      <c r="J91" s="13">
        <v>1</v>
      </c>
      <c r="K91" s="13">
        <v>2</v>
      </c>
    </row>
    <row r="92" spans="1:11" ht="15" hidden="1" customHeight="1" x14ac:dyDescent="0.35">
      <c r="A92" s="6" t="str">
        <f>MID(C92,2,FIND(")",C92,1)-5)</f>
        <v xml:space="preserve">4.11.3.1 </v>
      </c>
      <c r="B92" t="str">
        <f>IF(ISNUMBER(FIND("[PASSED]",C92,1)),"PASSED","FAILED")</f>
        <v>PASSED</v>
      </c>
      <c r="C92" s="16" t="s">
        <v>21</v>
      </c>
      <c r="D92" s="6"/>
      <c r="G92" s="13">
        <v>4</v>
      </c>
      <c r="H92" s="13">
        <v>11</v>
      </c>
      <c r="I92" s="13">
        <v>3</v>
      </c>
      <c r="J92" s="13">
        <v>1</v>
      </c>
    </row>
    <row r="93" spans="1:11" ht="15" hidden="1" customHeight="1" x14ac:dyDescent="0.35">
      <c r="A93" s="6" t="str">
        <f>MID(C93,2,FIND(")",C93,1)-5)</f>
        <v xml:space="preserve">4.11.3.2 </v>
      </c>
      <c r="B93" t="str">
        <f>IF(ISNUMBER(FIND("[PASSED]",C93,1)),"PASSED","FAILED")</f>
        <v>PASSED</v>
      </c>
      <c r="C93" s="16" t="s">
        <v>346</v>
      </c>
      <c r="D93" s="6"/>
      <c r="G93" s="13">
        <v>4</v>
      </c>
      <c r="H93" s="13">
        <v>11</v>
      </c>
      <c r="I93" s="13">
        <v>3</v>
      </c>
      <c r="J93" s="13">
        <v>2</v>
      </c>
    </row>
    <row r="94" spans="1:11" ht="15" hidden="1" customHeight="1" x14ac:dyDescent="0.35">
      <c r="A94" s="6" t="str">
        <f>MID(C94,2,FIND(")",C94,1)-5)</f>
        <v xml:space="preserve">4.11.5.1 </v>
      </c>
      <c r="B94" t="str">
        <f>IF(ISNUMBER(FIND("[PASSED]",C94,1)),"PASSED","FAILED")</f>
        <v>PASSED</v>
      </c>
      <c r="C94" s="16" t="s">
        <v>81</v>
      </c>
      <c r="D94" s="6"/>
      <c r="G94" s="13">
        <v>4</v>
      </c>
      <c r="H94" s="13">
        <v>11</v>
      </c>
      <c r="I94" s="13">
        <v>5</v>
      </c>
      <c r="J94" s="13">
        <v>1</v>
      </c>
    </row>
    <row r="95" spans="1:11" ht="15" hidden="1" customHeight="1" x14ac:dyDescent="0.35">
      <c r="A95" s="6" t="str">
        <f>MID(C95,2,FIND(")",C95,1)-5)</f>
        <v xml:space="preserve">4.11.5.2 </v>
      </c>
      <c r="B95" t="str">
        <f>IF(ISNUMBER(FIND("[PASSED]",C95,1)),"PASSED","FAILED")</f>
        <v>PASSED</v>
      </c>
      <c r="C95" s="16" t="s">
        <v>233</v>
      </c>
      <c r="D95" s="6"/>
      <c r="G95" s="13">
        <v>4</v>
      </c>
      <c r="H95" s="13">
        <v>11</v>
      </c>
      <c r="I95" s="13">
        <v>5</v>
      </c>
      <c r="J95" s="13">
        <v>2</v>
      </c>
    </row>
    <row r="96" spans="1:11" ht="15" hidden="1" customHeight="1" x14ac:dyDescent="0.35">
      <c r="A96" s="6" t="str">
        <f>MID(C96,2,FIND(")",C96,1)-5)</f>
        <v xml:space="preserve">4.11.6.1 </v>
      </c>
      <c r="B96" t="str">
        <f>IF(ISNUMBER(FIND("[PASSED]",C96,1)),"PASSED","FAILED")</f>
        <v>PASSED</v>
      </c>
      <c r="C96" s="16" t="s">
        <v>123</v>
      </c>
      <c r="D96" s="6"/>
      <c r="G96" s="13">
        <v>4</v>
      </c>
      <c r="H96" s="13">
        <v>11</v>
      </c>
      <c r="I96" s="13">
        <v>6</v>
      </c>
      <c r="J96" s="13">
        <v>1</v>
      </c>
    </row>
    <row r="97" spans="1:11" ht="15" hidden="1" customHeight="1" x14ac:dyDescent="0.35">
      <c r="A97" s="6" t="str">
        <f>MID(C97,2,FIND(")",C97,1)-5)</f>
        <v xml:space="preserve">4.11.6.2 </v>
      </c>
      <c r="B97" t="str">
        <f>IF(ISNUMBER(FIND("[PASSED]",C97,1)),"PASSED","FAILED")</f>
        <v>PASSED</v>
      </c>
      <c r="C97" s="16" t="s">
        <v>169</v>
      </c>
      <c r="D97" s="6"/>
      <c r="G97" s="13">
        <v>4</v>
      </c>
      <c r="H97" s="13">
        <v>11</v>
      </c>
      <c r="I97" s="13">
        <v>6</v>
      </c>
      <c r="J97" s="13">
        <v>2</v>
      </c>
    </row>
    <row r="98" spans="1:11" ht="15" hidden="1" customHeight="1" x14ac:dyDescent="0.35">
      <c r="A98" s="6" t="str">
        <f>MID(C98,2,FIND(")",C98,1)-5)</f>
        <v xml:space="preserve">4.11.6.3 </v>
      </c>
      <c r="B98" t="str">
        <f>IF(ISNUMBER(FIND("[PASSED]",C98,1)),"PASSED","FAILED")</f>
        <v>PASSED</v>
      </c>
      <c r="C98" s="16" t="s">
        <v>312</v>
      </c>
      <c r="D98" s="6"/>
      <c r="G98" s="13">
        <v>4</v>
      </c>
      <c r="H98" s="13">
        <v>11</v>
      </c>
      <c r="I98" s="13">
        <v>6</v>
      </c>
      <c r="J98" s="13">
        <v>3</v>
      </c>
    </row>
    <row r="99" spans="1:11" ht="15" hidden="1" customHeight="1" x14ac:dyDescent="0.35">
      <c r="A99" s="6" t="str">
        <f>MID(C99,2,FIND(")",C99,1)-5)</f>
        <v xml:space="preserve">4.11.7.1.1 </v>
      </c>
      <c r="B99" t="str">
        <f>IF(ISNUMBER(FIND("[PASSED]",C99,1)),"PASSED","FAILED")</f>
        <v>PASSED</v>
      </c>
      <c r="C99" s="16" t="s">
        <v>419</v>
      </c>
      <c r="D99" s="6"/>
      <c r="G99" s="13">
        <v>4</v>
      </c>
      <c r="H99" s="13">
        <v>11</v>
      </c>
      <c r="I99" s="13">
        <v>7</v>
      </c>
      <c r="J99" s="13">
        <v>1</v>
      </c>
      <c r="K99" s="13">
        <v>1</v>
      </c>
    </row>
    <row r="100" spans="1:11" ht="15" customHeight="1" x14ac:dyDescent="0.35">
      <c r="A100" s="6" t="str">
        <f>MID(C100,2,FIND(")",C100,1)-5)</f>
        <v xml:space="preserve">4.11.7.1.2 </v>
      </c>
      <c r="B100" t="str">
        <f>IF(ISNUMBER(FIND("[PASSED]",C100,1)),"PASSED","FAILED")</f>
        <v>FAILED</v>
      </c>
      <c r="C100" s="16" t="s">
        <v>398</v>
      </c>
      <c r="D100" s="13" t="s">
        <v>471</v>
      </c>
      <c r="E100" s="6" t="s">
        <v>333</v>
      </c>
      <c r="F100" s="6" t="s">
        <v>479</v>
      </c>
      <c r="G100" s="13">
        <v>4</v>
      </c>
      <c r="H100" s="13">
        <v>11</v>
      </c>
      <c r="I100" s="13">
        <v>7</v>
      </c>
      <c r="J100" s="13">
        <v>1</v>
      </c>
      <c r="K100" s="13">
        <v>2</v>
      </c>
    </row>
    <row r="101" spans="1:11" ht="15" hidden="1" customHeight="1" x14ac:dyDescent="0.35">
      <c r="A101" s="6" t="str">
        <f>MID(C101,2,FIND(")",C101,1)-5)</f>
        <v xml:space="preserve">4.11.7.1.3 </v>
      </c>
      <c r="B101" t="str">
        <f>IF(ISNUMBER(FIND("[PASSED]",C101,1)),"PASSED","FAILED")</f>
        <v>PASSED</v>
      </c>
      <c r="C101" s="16" t="s">
        <v>456</v>
      </c>
      <c r="D101" s="6"/>
      <c r="G101" s="13">
        <v>4</v>
      </c>
      <c r="H101" s="13">
        <v>11</v>
      </c>
      <c r="I101" s="13">
        <v>7</v>
      </c>
      <c r="J101" s="13">
        <v>1</v>
      </c>
      <c r="K101" s="13">
        <v>3</v>
      </c>
    </row>
    <row r="102" spans="1:11" ht="15" hidden="1" customHeight="1" x14ac:dyDescent="0.35">
      <c r="A102" s="6" t="str">
        <f>MID(C102,2,FIND(")",C102,1)-5)</f>
        <v xml:space="preserve">4.11.7.1.4 </v>
      </c>
      <c r="B102" t="str">
        <f>IF(ISNUMBER(FIND("[PASSED]",C102,1)),"PASSED","FAILED")</f>
        <v>PASSED</v>
      </c>
      <c r="C102" s="16" t="s">
        <v>400</v>
      </c>
      <c r="D102" s="6"/>
      <c r="G102" s="13">
        <v>4</v>
      </c>
      <c r="H102" s="13">
        <v>11</v>
      </c>
      <c r="I102" s="13">
        <v>7</v>
      </c>
      <c r="J102" s="13">
        <v>1</v>
      </c>
      <c r="K102" s="13">
        <v>4</v>
      </c>
    </row>
    <row r="103" spans="1:11" ht="15" hidden="1" customHeight="1" x14ac:dyDescent="0.35">
      <c r="A103" s="6" t="str">
        <f>MID(C103,2,FIND(")",C103,1)-5)</f>
        <v xml:space="preserve">4.11.7.1.5 </v>
      </c>
      <c r="B103" t="str">
        <f>IF(ISNUMBER(FIND("[PASSED]",C103,1)),"PASSED","FAILED")</f>
        <v>PASSED</v>
      </c>
      <c r="C103" s="16" t="s">
        <v>457</v>
      </c>
      <c r="D103" s="6"/>
      <c r="G103" s="13">
        <v>4</v>
      </c>
      <c r="H103" s="13">
        <v>11</v>
      </c>
      <c r="I103" s="13">
        <v>7</v>
      </c>
      <c r="J103" s="13">
        <v>1</v>
      </c>
      <c r="K103" s="13">
        <v>5</v>
      </c>
    </row>
    <row r="104" spans="1:11" ht="15" customHeight="1" x14ac:dyDescent="0.35">
      <c r="A104" s="6" t="str">
        <f>MID(C104,2,FIND(")",C104,1)-5)</f>
        <v xml:space="preserve">4.11.7.1.6 </v>
      </c>
      <c r="B104" t="str">
        <f>IF(ISNUMBER(FIND("[PASSED]",C104,1)),"PASSED","FAILED")</f>
        <v>FAILED</v>
      </c>
      <c r="C104" s="16" t="s">
        <v>353</v>
      </c>
      <c r="D104" s="13" t="s">
        <v>469</v>
      </c>
      <c r="E104" s="6" t="s">
        <v>333</v>
      </c>
      <c r="F104" s="6" t="s">
        <v>479</v>
      </c>
      <c r="G104" s="13">
        <v>4</v>
      </c>
      <c r="H104" s="13">
        <v>11</v>
      </c>
      <c r="I104" s="13">
        <v>7</v>
      </c>
      <c r="J104" s="13">
        <v>1</v>
      </c>
      <c r="K104" s="13">
        <v>6</v>
      </c>
    </row>
    <row r="105" spans="1:11" ht="15" hidden="1" customHeight="1" x14ac:dyDescent="0.35">
      <c r="A105" s="6" t="str">
        <f>MID(C105,2,FIND(")",C105,1)-5)</f>
        <v xml:space="preserve">4.11.7.1.7 </v>
      </c>
      <c r="B105" t="str">
        <f>IF(ISNUMBER(FIND("[PASSED]",C105,1)),"PASSED","FAILED")</f>
        <v>PASSED</v>
      </c>
      <c r="C105" s="16" t="s">
        <v>438</v>
      </c>
      <c r="D105" s="6"/>
      <c r="G105" s="13">
        <v>4</v>
      </c>
      <c r="H105" s="13">
        <v>11</v>
      </c>
      <c r="I105" s="13">
        <v>7</v>
      </c>
      <c r="J105" s="13">
        <v>1</v>
      </c>
      <c r="K105" s="13">
        <v>7</v>
      </c>
    </row>
    <row r="106" spans="1:11" ht="15" customHeight="1" x14ac:dyDescent="0.35">
      <c r="A106" s="6" t="str">
        <f>MID(C106,2,FIND(")",C106,1)-5)</f>
        <v xml:space="preserve">4.11.7.1.8 </v>
      </c>
      <c r="B106" t="str">
        <f>IF(ISNUMBER(FIND("[PASSED]",C106,1)),"PASSED","FAILED")</f>
        <v>FAILED</v>
      </c>
      <c r="C106" s="16" t="s">
        <v>401</v>
      </c>
      <c r="D106" s="13" t="s">
        <v>470</v>
      </c>
      <c r="E106" s="6" t="s">
        <v>333</v>
      </c>
      <c r="F106" s="6" t="s">
        <v>479</v>
      </c>
      <c r="G106" s="13">
        <v>4</v>
      </c>
      <c r="H106" s="13">
        <v>11</v>
      </c>
      <c r="I106" s="13">
        <v>7</v>
      </c>
      <c r="J106" s="13">
        <v>1</v>
      </c>
      <c r="K106" s="13">
        <v>8</v>
      </c>
    </row>
    <row r="107" spans="1:11" ht="15" hidden="1" customHeight="1" x14ac:dyDescent="0.35">
      <c r="A107" s="6" t="str">
        <f>MID(C107,2,FIND(")",C107,1)-5)</f>
        <v xml:space="preserve">4.11.7.2.1 </v>
      </c>
      <c r="B107" t="str">
        <f>IF(ISNUMBER(FIND("[PASSED]",C107,1)),"PASSED","FAILED")</f>
        <v>PASSED</v>
      </c>
      <c r="C107" s="16" t="s">
        <v>410</v>
      </c>
      <c r="G107" s="13">
        <v>4</v>
      </c>
      <c r="H107" s="13">
        <v>11</v>
      </c>
      <c r="I107" s="13">
        <v>7</v>
      </c>
      <c r="J107" s="13">
        <v>2</v>
      </c>
      <c r="K107" s="13">
        <v>1</v>
      </c>
    </row>
    <row r="108" spans="1:11" ht="15" hidden="1" customHeight="1" x14ac:dyDescent="0.35">
      <c r="A108" s="6" t="str">
        <f>MID(C108,2,FIND(")",C108,1)-5)</f>
        <v xml:space="preserve">4.11.7.2.2 </v>
      </c>
      <c r="B108" t="str">
        <f>IF(ISNUMBER(FIND("[PASSED]",C108,1)),"PASSED","FAILED")</f>
        <v>PASSED</v>
      </c>
      <c r="C108" s="16" t="s">
        <v>459</v>
      </c>
      <c r="D108" s="6"/>
      <c r="G108" s="13">
        <v>4</v>
      </c>
      <c r="H108" s="13">
        <v>11</v>
      </c>
      <c r="I108" s="13">
        <v>7</v>
      </c>
      <c r="J108" s="13">
        <v>2</v>
      </c>
      <c r="K108" s="13">
        <v>2</v>
      </c>
    </row>
    <row r="109" spans="1:11" ht="15" customHeight="1" x14ac:dyDescent="0.35">
      <c r="A109" s="6" t="str">
        <f>MID(C109,2,FIND(")",C109,1)-5)</f>
        <v xml:space="preserve">4.11.7.2.3 </v>
      </c>
      <c r="B109" t="str">
        <f>IF(ISNUMBER(FIND("[PASSED]",C109,1)),"PASSED","FAILED")</f>
        <v>FAILED</v>
      </c>
      <c r="C109" s="16" t="s">
        <v>462</v>
      </c>
      <c r="D109" s="13" t="s">
        <v>473</v>
      </c>
      <c r="E109" s="6" t="s">
        <v>333</v>
      </c>
      <c r="F109" s="6" t="s">
        <v>479</v>
      </c>
      <c r="G109" s="13">
        <v>4</v>
      </c>
      <c r="H109" s="13">
        <v>11</v>
      </c>
      <c r="I109" s="13">
        <v>7</v>
      </c>
      <c r="J109" s="13">
        <v>2</v>
      </c>
      <c r="K109" s="13">
        <v>3</v>
      </c>
    </row>
    <row r="110" spans="1:11" ht="15" hidden="1" customHeight="1" x14ac:dyDescent="0.35">
      <c r="A110" s="6" t="str">
        <f>MID(C110,2,FIND(")",C110,1)-5)</f>
        <v xml:space="preserve">4.11.7.2.4 </v>
      </c>
      <c r="B110" t="str">
        <f>IF(ISNUMBER(FIND("[PASSED]",C110,1)),"PASSED","FAILED")</f>
        <v>PASSED</v>
      </c>
      <c r="C110" s="16" t="s">
        <v>347</v>
      </c>
      <c r="D110" s="6"/>
      <c r="G110" s="13">
        <v>4</v>
      </c>
      <c r="H110" s="13">
        <v>11</v>
      </c>
      <c r="I110" s="13">
        <v>7</v>
      </c>
      <c r="J110" s="13">
        <v>2</v>
      </c>
      <c r="K110" s="13">
        <v>4</v>
      </c>
    </row>
    <row r="111" spans="1:11" ht="15" hidden="1" customHeight="1" x14ac:dyDescent="0.35">
      <c r="A111" s="6" t="str">
        <f>MID(C111,2,FIND(")",C111,1)-5)</f>
        <v xml:space="preserve">4.11.7.2.5 </v>
      </c>
      <c r="B111" t="str">
        <f>IF(ISNUMBER(FIND("[PASSED]",C111,1)),"PASSED","FAILED")</f>
        <v>PASSED</v>
      </c>
      <c r="C111" s="16" t="s">
        <v>407</v>
      </c>
      <c r="D111" s="6"/>
      <c r="G111" s="13">
        <v>4</v>
      </c>
      <c r="H111" s="13">
        <v>11</v>
      </c>
      <c r="I111" s="13">
        <v>7</v>
      </c>
      <c r="J111" s="13">
        <v>2</v>
      </c>
      <c r="K111" s="13">
        <v>5</v>
      </c>
    </row>
    <row r="112" spans="1:11" ht="15" hidden="1" customHeight="1" x14ac:dyDescent="0.35">
      <c r="A112" s="6" t="str">
        <f>MID(C112,2,FIND(")",C112,1)-5)</f>
        <v xml:space="preserve">4.11.7.2.6 </v>
      </c>
      <c r="B112" t="str">
        <f>IF(ISNUMBER(FIND("[PASSED]",C112,1)),"PASSED","FAILED")</f>
        <v>PASSED</v>
      </c>
      <c r="C112" s="16" t="s">
        <v>441</v>
      </c>
      <c r="D112" s="6"/>
      <c r="G112" s="13">
        <v>4</v>
      </c>
      <c r="H112" s="13">
        <v>11</v>
      </c>
      <c r="I112" s="13">
        <v>7</v>
      </c>
      <c r="J112" s="13">
        <v>2</v>
      </c>
      <c r="K112" s="13">
        <v>6</v>
      </c>
    </row>
    <row r="113" spans="1:11" ht="15" hidden="1" customHeight="1" x14ac:dyDescent="0.35">
      <c r="A113" s="6" t="str">
        <f>MID(C113,2,FIND(")",C113,1)-5)</f>
        <v xml:space="preserve">4.11.7.2.7 </v>
      </c>
      <c r="B113" t="str">
        <f>IF(ISNUMBER(FIND("[PASSED]",C113,1)),"PASSED","FAILED")</f>
        <v>PASSED</v>
      </c>
      <c r="C113" s="16" t="s">
        <v>442</v>
      </c>
      <c r="D113" s="6"/>
      <c r="G113" s="13">
        <v>4</v>
      </c>
      <c r="H113" s="13">
        <v>11</v>
      </c>
      <c r="I113" s="13">
        <v>7</v>
      </c>
      <c r="J113" s="13">
        <v>2</v>
      </c>
      <c r="K113" s="13">
        <v>7</v>
      </c>
    </row>
    <row r="114" spans="1:11" ht="15" hidden="1" customHeight="1" x14ac:dyDescent="0.35">
      <c r="A114" s="6" t="str">
        <f>MID(C114,2,FIND(")",C114,1)-5)</f>
        <v xml:space="preserve">4.11.7.2.8 </v>
      </c>
      <c r="B114" t="str">
        <f>IF(ISNUMBER(FIND("[PASSED]",C114,1)),"PASSED","FAILED")</f>
        <v>PASSED</v>
      </c>
      <c r="C114" s="16" t="s">
        <v>466</v>
      </c>
      <c r="D114" s="6"/>
      <c r="G114" s="13">
        <v>4</v>
      </c>
      <c r="H114" s="13">
        <v>11</v>
      </c>
      <c r="I114" s="13">
        <v>7</v>
      </c>
      <c r="J114" s="13">
        <v>2</v>
      </c>
      <c r="K114" s="13">
        <v>8</v>
      </c>
    </row>
    <row r="115" spans="1:11" ht="15" hidden="1" customHeight="1" x14ac:dyDescent="0.35">
      <c r="A115" s="6" t="str">
        <f>MID(C115,2,FIND(")",C115,1)-5)</f>
        <v xml:space="preserve">4.11.7.2.9 </v>
      </c>
      <c r="B115" t="str">
        <f>IF(ISNUMBER(FIND("[PASSED]",C115,1)),"PASSED","FAILED")</f>
        <v>PASSED</v>
      </c>
      <c r="C115" s="16" t="s">
        <v>394</v>
      </c>
      <c r="D115" s="6"/>
      <c r="G115" s="13">
        <v>4</v>
      </c>
      <c r="H115" s="13">
        <v>11</v>
      </c>
      <c r="I115" s="13">
        <v>7</v>
      </c>
      <c r="J115" s="13">
        <v>2</v>
      </c>
      <c r="K115" s="13">
        <v>9</v>
      </c>
    </row>
    <row r="116" spans="1:11" ht="15" hidden="1" customHeight="1" x14ac:dyDescent="0.35">
      <c r="A116" s="6" t="str">
        <f>MID(C116,2,FIND(")",C116,1)-5)</f>
        <v xml:space="preserve">4.11.7.2.10 </v>
      </c>
      <c r="B116" t="str">
        <f>IF(ISNUMBER(FIND("[PASSED]",C116,1)),"PASSED","FAILED")</f>
        <v>PASSED</v>
      </c>
      <c r="C116" s="16" t="s">
        <v>406</v>
      </c>
      <c r="D116" s="6"/>
      <c r="G116" s="13">
        <v>4</v>
      </c>
      <c r="H116" s="13">
        <v>11</v>
      </c>
      <c r="I116" s="13">
        <v>7</v>
      </c>
      <c r="J116" s="13">
        <v>2</v>
      </c>
      <c r="K116" s="13">
        <v>10</v>
      </c>
    </row>
    <row r="117" spans="1:11" ht="15" hidden="1" customHeight="1" x14ac:dyDescent="0.35">
      <c r="A117" s="6" t="str">
        <f>MID(C117,2,FIND(")",C117,1)-5)</f>
        <v xml:space="preserve">4.11.7.2.11 </v>
      </c>
      <c r="B117" t="str">
        <f>IF(ISNUMBER(FIND("[PASSED]",C117,1)),"PASSED","FAILED")</f>
        <v>PASSED</v>
      </c>
      <c r="C117" s="16" t="s">
        <v>428</v>
      </c>
      <c r="G117" s="13">
        <v>4</v>
      </c>
      <c r="H117" s="13">
        <v>11</v>
      </c>
      <c r="I117" s="13">
        <v>7</v>
      </c>
      <c r="J117" s="13">
        <v>2</v>
      </c>
      <c r="K117" s="13">
        <v>11</v>
      </c>
    </row>
    <row r="118" spans="1:11" ht="15" customHeight="1" x14ac:dyDescent="0.35">
      <c r="A118" s="6" t="str">
        <f>MID(C118,2,FIND(")",C118,1)-5)</f>
        <v xml:space="preserve">4.11.7.2.12 </v>
      </c>
      <c r="B118" t="str">
        <f>IF(ISNUMBER(FIND("[PASSED]",C118,1)),"PASSED","FAILED")</f>
        <v>FAILED</v>
      </c>
      <c r="C118" s="16" t="s">
        <v>336</v>
      </c>
      <c r="D118" s="13" t="s">
        <v>474</v>
      </c>
      <c r="E118" s="6" t="s">
        <v>333</v>
      </c>
      <c r="F118" s="6" t="s">
        <v>479</v>
      </c>
      <c r="G118" s="13">
        <v>4</v>
      </c>
      <c r="H118" s="13">
        <v>11</v>
      </c>
      <c r="I118" s="13">
        <v>7</v>
      </c>
      <c r="J118" s="13">
        <v>2</v>
      </c>
      <c r="K118" s="13">
        <v>12</v>
      </c>
    </row>
    <row r="119" spans="1:11" ht="15" customHeight="1" x14ac:dyDescent="0.35">
      <c r="A119" s="6" t="str">
        <f>MID(C119,2,FIND(")",C119,1)-5)</f>
        <v xml:space="preserve">4.11.7.2.13 </v>
      </c>
      <c r="B119" t="str">
        <f>IF(ISNUMBER(FIND("[PASSED]",C119,1)),"PASSED","FAILED")</f>
        <v>FAILED</v>
      </c>
      <c r="C119" s="16" t="s">
        <v>455</v>
      </c>
      <c r="D119" s="13" t="s">
        <v>475</v>
      </c>
      <c r="E119" s="6" t="s">
        <v>333</v>
      </c>
      <c r="F119" s="6" t="s">
        <v>479</v>
      </c>
      <c r="G119" s="13">
        <v>4</v>
      </c>
      <c r="H119" s="13">
        <v>11</v>
      </c>
      <c r="I119" s="13">
        <v>7</v>
      </c>
      <c r="J119" s="13">
        <v>2</v>
      </c>
      <c r="K119" s="13">
        <v>13</v>
      </c>
    </row>
    <row r="120" spans="1:11" ht="15" customHeight="1" x14ac:dyDescent="0.35">
      <c r="A120" s="6" t="str">
        <f>MID(C120,2,FIND(")",C120,1)-5)</f>
        <v xml:space="preserve">4.11.7.2.14 </v>
      </c>
      <c r="B120" t="str">
        <f>IF(ISNUMBER(FIND("[PASSED]",C120,1)),"PASSED","FAILED")</f>
        <v>FAILED</v>
      </c>
      <c r="C120" s="16" t="s">
        <v>425</v>
      </c>
      <c r="D120" s="13" t="s">
        <v>476</v>
      </c>
      <c r="E120" s="6" t="s">
        <v>333</v>
      </c>
      <c r="F120" s="6" t="s">
        <v>479</v>
      </c>
      <c r="G120" s="13">
        <v>4</v>
      </c>
      <c r="H120" s="13">
        <v>11</v>
      </c>
      <c r="I120" s="13">
        <v>7</v>
      </c>
      <c r="J120" s="13">
        <v>2</v>
      </c>
      <c r="K120" s="13">
        <v>14</v>
      </c>
    </row>
    <row r="121" spans="1:11" ht="15" customHeight="1" x14ac:dyDescent="0.35">
      <c r="A121" s="6" t="str">
        <f>MID(C121,2,FIND(")",C121,1)-5)</f>
        <v xml:space="preserve">4.11.7.3.1 </v>
      </c>
      <c r="B121" t="str">
        <f>IF(ISNUMBER(FIND("[PASSED]",C121,1)),"PASSED","FAILED")</f>
        <v>FAILED</v>
      </c>
      <c r="C121" s="16" t="s">
        <v>337</v>
      </c>
      <c r="D121" s="13" t="s">
        <v>477</v>
      </c>
      <c r="E121" s="6" t="s">
        <v>333</v>
      </c>
      <c r="F121" s="6" t="s">
        <v>479</v>
      </c>
      <c r="G121" s="13">
        <v>4</v>
      </c>
      <c r="H121" s="13">
        <v>11</v>
      </c>
      <c r="I121" s="13">
        <v>7</v>
      </c>
      <c r="J121" s="13">
        <v>3</v>
      </c>
      <c r="K121" s="13">
        <v>1</v>
      </c>
    </row>
    <row r="122" spans="1:11" ht="15" hidden="1" customHeight="1" x14ac:dyDescent="0.35">
      <c r="A122" s="6" t="str">
        <f>MID(C122,2,FIND(")",C122,1)-5)</f>
        <v xml:space="preserve">4.11.7.3.2 </v>
      </c>
      <c r="B122" t="str">
        <f>IF(ISNUMBER(FIND("[PASSED]",C122,1)),"PASSED","FAILED")</f>
        <v>PASSED</v>
      </c>
      <c r="C122" s="16" t="s">
        <v>430</v>
      </c>
      <c r="D122" s="6"/>
      <c r="G122" s="13">
        <v>4</v>
      </c>
      <c r="H122" s="13">
        <v>11</v>
      </c>
      <c r="I122" s="13">
        <v>7</v>
      </c>
      <c r="J122" s="13">
        <v>3</v>
      </c>
      <c r="K122" s="13">
        <v>2</v>
      </c>
    </row>
    <row r="123" spans="1:11" ht="15" hidden="1" customHeight="1" x14ac:dyDescent="0.35">
      <c r="A123" s="6" t="str">
        <f>MID(C123,2,FIND(")",C123,1)-5)</f>
        <v xml:space="preserve">4.11.7.4 </v>
      </c>
      <c r="B123" t="str">
        <f>IF(ISNUMBER(FIND("[PASSED]",C123,1)),"PASSED","FAILED")</f>
        <v>PASSED</v>
      </c>
      <c r="C123" s="16" t="s">
        <v>446</v>
      </c>
      <c r="D123" s="6"/>
      <c r="G123" s="13">
        <v>4</v>
      </c>
      <c r="H123" s="13">
        <v>11</v>
      </c>
      <c r="I123" s="13">
        <v>7</v>
      </c>
      <c r="J123" s="13">
        <v>4</v>
      </c>
    </row>
    <row r="124" spans="1:11" ht="15" hidden="1" customHeight="1" x14ac:dyDescent="0.35">
      <c r="A124" s="6" t="str">
        <f>MID(C124,2,FIND(")",C124,1)-5)</f>
        <v xml:space="preserve">4.11.7.5 </v>
      </c>
      <c r="B124" t="str">
        <f>IF(ISNUMBER(FIND("[PASSED]",C124,1)),"PASSED","FAILED")</f>
        <v>PASSED</v>
      </c>
      <c r="C124" s="16" t="s">
        <v>374</v>
      </c>
      <c r="D124" s="6"/>
      <c r="G124" s="13">
        <v>4</v>
      </c>
      <c r="H124" s="13">
        <v>11</v>
      </c>
      <c r="I124" s="13">
        <v>7</v>
      </c>
      <c r="J124" s="13">
        <v>5</v>
      </c>
    </row>
    <row r="125" spans="1:11" ht="15" hidden="1" customHeight="1" x14ac:dyDescent="0.35">
      <c r="A125" s="6" t="str">
        <f>MID(C125,2,FIND(")",C125,1)-5)</f>
        <v xml:space="preserve">4.11.7.6 </v>
      </c>
      <c r="B125" t="str">
        <f>IF(ISNUMBER(FIND("[PASSED]",C125,1)),"PASSED","FAILED")</f>
        <v>PASSED</v>
      </c>
      <c r="C125" s="16" t="s">
        <v>412</v>
      </c>
      <c r="D125" s="6"/>
      <c r="G125" s="13">
        <v>4</v>
      </c>
      <c r="H125" s="13">
        <v>11</v>
      </c>
      <c r="I125" s="13">
        <v>7</v>
      </c>
      <c r="J125" s="13">
        <v>6</v>
      </c>
    </row>
    <row r="126" spans="1:11" ht="15" hidden="1" customHeight="1" x14ac:dyDescent="0.35">
      <c r="A126" s="6" t="str">
        <f>MID(C126,2,FIND(")",C126,1)-5)</f>
        <v xml:space="preserve">4.11.8.1 </v>
      </c>
      <c r="B126" t="str">
        <f>IF(ISNUMBER(FIND("[PASSED]",C126,1)),"PASSED","FAILED")</f>
        <v>PASSED</v>
      </c>
      <c r="C126" s="16" t="s">
        <v>26</v>
      </c>
      <c r="D126" s="6"/>
      <c r="G126" s="13">
        <v>4</v>
      </c>
      <c r="H126" s="13">
        <v>11</v>
      </c>
      <c r="I126" s="13">
        <v>8</v>
      </c>
      <c r="J126" s="13">
        <v>1</v>
      </c>
    </row>
    <row r="127" spans="1:11" ht="15" hidden="1" customHeight="1" x14ac:dyDescent="0.35">
      <c r="A127" s="6" t="str">
        <f>MID(C127,2,FIND(")",C127,1)-5)</f>
        <v xml:space="preserve">4.11.8.2 </v>
      </c>
      <c r="B127" t="str">
        <f>IF(ISNUMBER(FIND("[PASSED]",C127,1)),"PASSED","FAILED")</f>
        <v>PASSED</v>
      </c>
      <c r="C127" s="16" t="s">
        <v>216</v>
      </c>
      <c r="D127" s="6"/>
      <c r="G127" s="13">
        <v>4</v>
      </c>
      <c r="H127" s="13">
        <v>11</v>
      </c>
      <c r="I127" s="13">
        <v>8</v>
      </c>
      <c r="J127" s="13">
        <v>2</v>
      </c>
    </row>
    <row r="128" spans="1:11" ht="15" hidden="1" customHeight="1" x14ac:dyDescent="0.35">
      <c r="A128" s="6" t="str">
        <f>MID(C128,2,FIND(")",C128,1)-5)</f>
        <v xml:space="preserve">4.11.8.3 </v>
      </c>
      <c r="B128" t="str">
        <f>IF(ISNUMBER(FIND("[PASSED]",C128,1)),"PASSED","FAILED")</f>
        <v>PASSED</v>
      </c>
      <c r="C128" s="16" t="s">
        <v>152</v>
      </c>
      <c r="D128" s="6"/>
      <c r="G128" s="13">
        <v>4</v>
      </c>
      <c r="H128" s="13">
        <v>11</v>
      </c>
      <c r="I128" s="13">
        <v>8</v>
      </c>
      <c r="J128" s="13">
        <v>3</v>
      </c>
    </row>
    <row r="129" spans="1:11" ht="15" hidden="1" customHeight="1" x14ac:dyDescent="0.35">
      <c r="A129" s="6" t="str">
        <f>MID(C129,2,FIND(")",C129,1)-5)</f>
        <v xml:space="preserve">4.11.10.1 </v>
      </c>
      <c r="B129" t="str">
        <f>IF(ISNUMBER(FIND("[PASSED]",C129,1)),"PASSED","FAILED")</f>
        <v>PASSED</v>
      </c>
      <c r="C129" s="16" t="s">
        <v>227</v>
      </c>
      <c r="D129" s="6"/>
      <c r="G129" s="13">
        <v>4</v>
      </c>
      <c r="H129" s="13">
        <v>11</v>
      </c>
      <c r="I129" s="13">
        <v>10</v>
      </c>
      <c r="J129" s="13">
        <v>1</v>
      </c>
    </row>
    <row r="130" spans="1:11" ht="15" hidden="1" customHeight="1" x14ac:dyDescent="0.35">
      <c r="A130" s="6" t="str">
        <f>MID(C130,2,FIND(")",C130,1)-5)</f>
        <v xml:space="preserve">4.11.10.2 </v>
      </c>
      <c r="B130" t="str">
        <f>IF(ISNUMBER(FIND("[PASSED]",C130,1)),"PASSED","FAILED")</f>
        <v>PASSED</v>
      </c>
      <c r="C130" s="16" t="s">
        <v>110</v>
      </c>
      <c r="D130" s="6"/>
      <c r="G130" s="13">
        <v>4</v>
      </c>
      <c r="H130" s="13">
        <v>11</v>
      </c>
      <c r="I130" s="13">
        <v>10</v>
      </c>
      <c r="J130" s="13">
        <v>2</v>
      </c>
    </row>
    <row r="131" spans="1:11" ht="15" hidden="1" customHeight="1" x14ac:dyDescent="0.35">
      <c r="A131" s="6" t="str">
        <f>MID(C131,2,FIND(")",C131,1)-5)</f>
        <v xml:space="preserve">4.11.10.3 </v>
      </c>
      <c r="B131" t="str">
        <f>IF(ISNUMBER(FIND("[PASSED]",C131,1)),"PASSED","FAILED")</f>
        <v>PASSED</v>
      </c>
      <c r="C131" s="16" t="s">
        <v>34</v>
      </c>
      <c r="G131" s="13">
        <v>4</v>
      </c>
      <c r="H131" s="13">
        <v>11</v>
      </c>
      <c r="I131" s="13">
        <v>10</v>
      </c>
      <c r="J131" s="13">
        <v>3</v>
      </c>
    </row>
    <row r="132" spans="1:11" ht="15" hidden="1" customHeight="1" x14ac:dyDescent="0.35">
      <c r="A132" s="6" t="str">
        <f>MID(C132,2,FIND(")",C132,1)-5)</f>
        <v xml:space="preserve">4.11.15.1.1 </v>
      </c>
      <c r="B132" t="str">
        <f>IF(ISNUMBER(FIND("[PASSED]",C132,1)),"PASSED","FAILED")</f>
        <v>PASSED</v>
      </c>
      <c r="C132" s="16" t="s">
        <v>141</v>
      </c>
      <c r="D132" s="6"/>
      <c r="G132" s="13">
        <v>4</v>
      </c>
      <c r="H132" s="13">
        <v>11</v>
      </c>
      <c r="I132" s="13">
        <v>15</v>
      </c>
      <c r="J132" s="13">
        <v>1</v>
      </c>
      <c r="K132" s="13">
        <v>1</v>
      </c>
    </row>
    <row r="133" spans="1:11" ht="15" hidden="1" customHeight="1" x14ac:dyDescent="0.35">
      <c r="A133" s="6" t="str">
        <f>MID(C133,2,FIND(")",C133,1)-5)</f>
        <v xml:space="preserve">4.11.15.1.2 </v>
      </c>
      <c r="B133" t="str">
        <f>IF(ISNUMBER(FIND("[PASSED]",C133,1)),"PASSED","FAILED")</f>
        <v>PASSED</v>
      </c>
      <c r="C133" s="16" t="s">
        <v>251</v>
      </c>
      <c r="D133" s="6"/>
      <c r="G133" s="13">
        <v>4</v>
      </c>
      <c r="H133" s="13">
        <v>11</v>
      </c>
      <c r="I133" s="13">
        <v>15</v>
      </c>
      <c r="J133" s="13">
        <v>1</v>
      </c>
      <c r="K133" s="13">
        <v>2</v>
      </c>
    </row>
    <row r="134" spans="1:11" ht="15" hidden="1" customHeight="1" x14ac:dyDescent="0.35">
      <c r="A134" s="6" t="str">
        <f>MID(C134,2,FIND(")",C134,1)-5)</f>
        <v xml:space="preserve">4.11.15.2.1 </v>
      </c>
      <c r="B134" t="str">
        <f>IF(ISNUMBER(FIND("[PASSED]",C134,1)),"PASSED","FAILED")</f>
        <v>PASSED</v>
      </c>
      <c r="C134" s="16" t="s">
        <v>153</v>
      </c>
      <c r="D134" s="6"/>
      <c r="G134" s="13">
        <v>4</v>
      </c>
      <c r="H134" s="13">
        <v>11</v>
      </c>
      <c r="I134" s="13">
        <v>15</v>
      </c>
      <c r="J134" s="13">
        <v>2</v>
      </c>
      <c r="K134" s="13">
        <v>1</v>
      </c>
    </row>
    <row r="135" spans="1:11" ht="15" hidden="1" customHeight="1" x14ac:dyDescent="0.35">
      <c r="A135" s="6" t="str">
        <f>MID(C135,2,FIND(")",C135,1)-5)</f>
        <v xml:space="preserve">4.11.15.2.2 </v>
      </c>
      <c r="B135" t="str">
        <f>IF(ISNUMBER(FIND("[PASSED]",C135,1)),"PASSED","FAILED")</f>
        <v>PASSED</v>
      </c>
      <c r="C135" s="16" t="s">
        <v>134</v>
      </c>
      <c r="D135" s="6"/>
      <c r="G135" s="13">
        <v>4</v>
      </c>
      <c r="H135" s="13">
        <v>11</v>
      </c>
      <c r="I135" s="13">
        <v>15</v>
      </c>
      <c r="J135" s="13">
        <v>2</v>
      </c>
      <c r="K135" s="13">
        <v>2</v>
      </c>
    </row>
    <row r="136" spans="1:11" ht="15" hidden="1" customHeight="1" x14ac:dyDescent="0.35">
      <c r="A136" s="6" t="str">
        <f>MID(C136,2,FIND(")",C136,1)-5)</f>
        <v xml:space="preserve">4.11.15.3.1 </v>
      </c>
      <c r="B136" t="str">
        <f>IF(ISNUMBER(FIND("[PASSED]",C136,1)),"PASSED","FAILED")</f>
        <v>PASSED</v>
      </c>
      <c r="C136" s="16" t="s">
        <v>14</v>
      </c>
      <c r="D136" s="6"/>
      <c r="G136" s="13">
        <v>4</v>
      </c>
      <c r="H136" s="13">
        <v>11</v>
      </c>
      <c r="I136" s="13">
        <v>15</v>
      </c>
      <c r="J136" s="13">
        <v>3</v>
      </c>
      <c r="K136" s="13">
        <v>1</v>
      </c>
    </row>
    <row r="137" spans="1:11" ht="15" hidden="1" customHeight="1" x14ac:dyDescent="0.35">
      <c r="A137" s="6" t="str">
        <f>MID(C137,2,FIND(")",C137,1)-5)</f>
        <v xml:space="preserve">4.11.15.3.2 </v>
      </c>
      <c r="B137" t="str">
        <f>IF(ISNUMBER(FIND("[PASSED]",C137,1)),"PASSED","FAILED")</f>
        <v>PASSED</v>
      </c>
      <c r="C137" s="16" t="s">
        <v>180</v>
      </c>
      <c r="D137" s="6"/>
      <c r="G137" s="13">
        <v>4</v>
      </c>
      <c r="H137" s="13">
        <v>11</v>
      </c>
      <c r="I137" s="13">
        <v>15</v>
      </c>
      <c r="J137" s="13">
        <v>3</v>
      </c>
      <c r="K137" s="13">
        <v>2</v>
      </c>
    </row>
    <row r="138" spans="1:11" ht="15" hidden="1" customHeight="1" x14ac:dyDescent="0.35">
      <c r="A138" s="6" t="str">
        <f>MID(C138,2,FIND(")",C138,1)-5)</f>
        <v xml:space="preserve">4.11.15.4.1 </v>
      </c>
      <c r="B138" t="str">
        <f>IF(ISNUMBER(FIND("[PASSED]",C138,1)),"PASSED","FAILED")</f>
        <v>PASSED</v>
      </c>
      <c r="C138" s="16" t="s">
        <v>314</v>
      </c>
      <c r="D138" s="6"/>
      <c r="G138" s="13">
        <v>4</v>
      </c>
      <c r="H138" s="13">
        <v>11</v>
      </c>
      <c r="I138" s="13">
        <v>15</v>
      </c>
      <c r="J138" s="13">
        <v>4</v>
      </c>
      <c r="K138" s="13">
        <v>1</v>
      </c>
    </row>
    <row r="139" spans="1:11" ht="15" hidden="1" customHeight="1" x14ac:dyDescent="0.35">
      <c r="A139" s="6" t="str">
        <f>MID(C139,2,FIND(")",C139,1)-5)</f>
        <v xml:space="preserve">4.11.15.4.2 </v>
      </c>
      <c r="B139" t="str">
        <f>IF(ISNUMBER(FIND("[PASSED]",C139,1)),"PASSED","FAILED")</f>
        <v>PASSED</v>
      </c>
      <c r="C139" s="16" t="s">
        <v>101</v>
      </c>
      <c r="D139" s="6"/>
      <c r="G139" s="13">
        <v>4</v>
      </c>
      <c r="H139" s="13">
        <v>11</v>
      </c>
      <c r="I139" s="13">
        <v>15</v>
      </c>
      <c r="J139" s="13">
        <v>4</v>
      </c>
      <c r="K139" s="13">
        <v>2</v>
      </c>
    </row>
    <row r="140" spans="1:11" ht="15" hidden="1" customHeight="1" x14ac:dyDescent="0.35">
      <c r="A140" s="6" t="str">
        <f>MID(C140,2,FIND(")",C140,1)-5)</f>
        <v xml:space="preserve">4.11.18.1 </v>
      </c>
      <c r="B140" t="str">
        <f>IF(ISNUMBER(FIND("[PASSED]",C140,1)),"PASSED","FAILED")</f>
        <v>PASSED</v>
      </c>
      <c r="C140" s="16" t="s">
        <v>376</v>
      </c>
      <c r="D140" s="6"/>
      <c r="G140" s="13">
        <v>4</v>
      </c>
      <c r="H140" s="13">
        <v>11</v>
      </c>
      <c r="I140" s="13">
        <v>18</v>
      </c>
      <c r="J140" s="13">
        <v>1</v>
      </c>
    </row>
    <row r="141" spans="1:11" ht="15" hidden="1" customHeight="1" x14ac:dyDescent="0.35">
      <c r="A141" s="6" t="str">
        <f>MID(C141,2,FIND(")",C141,1)-5)</f>
        <v xml:space="preserve">4.11.18.2 </v>
      </c>
      <c r="B141" t="str">
        <f>IF(ISNUMBER(FIND("[PASSED]",C141,1)),"PASSED","FAILED")</f>
        <v>PASSED</v>
      </c>
      <c r="C141" s="16" t="s">
        <v>301</v>
      </c>
      <c r="G141" s="13">
        <v>4</v>
      </c>
      <c r="H141" s="13">
        <v>11</v>
      </c>
      <c r="I141" s="13">
        <v>18</v>
      </c>
      <c r="J141" s="13">
        <v>2</v>
      </c>
    </row>
    <row r="142" spans="1:11" ht="15" hidden="1" customHeight="1" x14ac:dyDescent="0.35">
      <c r="A142" s="6" t="str">
        <f>MID(C142,2,FIND(")",C142,1)-5)</f>
        <v xml:space="preserve">4.11.18.3 </v>
      </c>
      <c r="B142" t="str">
        <f>IF(ISNUMBER(FIND("[PASSED]",C142,1)),"PASSED","FAILED")</f>
        <v>PASSED</v>
      </c>
      <c r="C142" s="16" t="s">
        <v>201</v>
      </c>
      <c r="D142" s="6"/>
      <c r="G142" s="13">
        <v>4</v>
      </c>
      <c r="H142" s="13">
        <v>11</v>
      </c>
      <c r="I142" s="13">
        <v>18</v>
      </c>
      <c r="J142" s="13">
        <v>3</v>
      </c>
    </row>
    <row r="143" spans="1:11" ht="15" hidden="1" customHeight="1" x14ac:dyDescent="0.35">
      <c r="A143" s="6" t="str">
        <f>MID(C143,2,FIND(")",C143,1)-5)</f>
        <v xml:space="preserve">4.11.18.4 </v>
      </c>
      <c r="B143" t="str">
        <f>IF(ISNUMBER(FIND("[PASSED]",C143,1)),"PASSED","FAILED")</f>
        <v>PASSED</v>
      </c>
      <c r="C143" s="16" t="s">
        <v>299</v>
      </c>
      <c r="D143" s="6"/>
      <c r="G143" s="13">
        <v>4</v>
      </c>
      <c r="H143" s="13">
        <v>11</v>
      </c>
      <c r="I143" s="13">
        <v>18</v>
      </c>
      <c r="J143" s="13">
        <v>4</v>
      </c>
    </row>
    <row r="144" spans="1:11" ht="15" hidden="1" customHeight="1" x14ac:dyDescent="0.35">
      <c r="A144" s="6" t="str">
        <f>MID(C144,2,FIND(")",C144,1)-5)</f>
        <v xml:space="preserve">4.11.27.1 </v>
      </c>
      <c r="B144" t="str">
        <f>IF(ISNUMBER(FIND("[PASSED]",C144,1)),"PASSED","FAILED")</f>
        <v>PASSED</v>
      </c>
      <c r="C144" s="16" t="s">
        <v>157</v>
      </c>
      <c r="D144" s="6"/>
      <c r="G144" s="13">
        <v>4</v>
      </c>
      <c r="H144" s="13">
        <v>11</v>
      </c>
      <c r="I144" s="13">
        <v>27</v>
      </c>
      <c r="J144" s="13">
        <v>1</v>
      </c>
    </row>
    <row r="145" spans="1:12" ht="15" hidden="1" customHeight="1" x14ac:dyDescent="0.35">
      <c r="A145" s="6" t="str">
        <f>MID(C145,2,FIND(")",C145,1)-5)</f>
        <v xml:space="preserve">4.11.28.3.1 </v>
      </c>
      <c r="B145" t="str">
        <f>IF(ISNUMBER(FIND("[PASSED]",C145,1)),"PASSED","FAILED")</f>
        <v>PASSED</v>
      </c>
      <c r="C145" s="16" t="s">
        <v>151</v>
      </c>
      <c r="D145" s="6"/>
      <c r="G145" s="13">
        <v>4</v>
      </c>
      <c r="H145" s="13">
        <v>11</v>
      </c>
      <c r="I145" s="13">
        <v>28</v>
      </c>
      <c r="J145" s="13">
        <v>3</v>
      </c>
      <c r="K145" s="13">
        <v>1</v>
      </c>
    </row>
    <row r="146" spans="1:12" ht="15" customHeight="1" x14ac:dyDescent="0.35">
      <c r="A146" s="6" t="str">
        <f>MID(C146,2,FIND(")",C146,1)-5)</f>
        <v xml:space="preserve">4.11.28.3.2 </v>
      </c>
      <c r="B146" t="str">
        <f>IF(ISNUMBER(FIND("[PASSED]",C146,1)),"PASSED","FAILED")</f>
        <v>FAILED</v>
      </c>
      <c r="C146" s="16" t="s">
        <v>395</v>
      </c>
      <c r="D146" s="13" t="s">
        <v>478</v>
      </c>
      <c r="F146" s="6" t="s">
        <v>479</v>
      </c>
      <c r="G146" s="13">
        <v>4</v>
      </c>
      <c r="H146" s="13">
        <v>11</v>
      </c>
      <c r="I146" s="13">
        <v>28</v>
      </c>
      <c r="J146" s="13">
        <v>3</v>
      </c>
      <c r="K146" s="13">
        <v>2</v>
      </c>
    </row>
    <row r="147" spans="1:12" ht="15" hidden="1" customHeight="1" x14ac:dyDescent="0.35">
      <c r="A147" s="6" t="str">
        <f>MID(C147,2,FIND(")",C147,1)-5)</f>
        <v xml:space="preserve">4.11.28.10.1 </v>
      </c>
      <c r="B147" t="str">
        <f>IF(ISNUMBER(FIND("[PASSED]",C147,1)),"PASSED","FAILED")</f>
        <v>PASSED</v>
      </c>
      <c r="C147" s="16" t="s">
        <v>345</v>
      </c>
      <c r="D147" s="6"/>
      <c r="G147" s="13">
        <v>4</v>
      </c>
      <c r="H147" s="13">
        <v>11</v>
      </c>
      <c r="I147" s="13">
        <v>28</v>
      </c>
      <c r="J147" s="13">
        <v>10</v>
      </c>
      <c r="K147" s="13">
        <v>1</v>
      </c>
    </row>
    <row r="148" spans="1:12" ht="15" hidden="1" customHeight="1" x14ac:dyDescent="0.35">
      <c r="A148" s="6" t="str">
        <f>MID(C148,2,FIND(")",C148,1)-5)</f>
        <v xml:space="preserve">4.11.31.1 </v>
      </c>
      <c r="B148" t="str">
        <f>IF(ISNUMBER(FIND("[PASSED]",C148,1)),"PASSED","FAILED")</f>
        <v>PASSED</v>
      </c>
      <c r="C148" s="16" t="s">
        <v>186</v>
      </c>
      <c r="D148" s="6"/>
      <c r="G148" s="13">
        <v>4</v>
      </c>
      <c r="H148" s="13">
        <v>11</v>
      </c>
      <c r="I148" s="13">
        <v>31</v>
      </c>
      <c r="J148" s="13">
        <v>1</v>
      </c>
    </row>
    <row r="149" spans="1:12" ht="15" hidden="1" customHeight="1" x14ac:dyDescent="0.35">
      <c r="A149" s="6" t="str">
        <f>MID(C149,2,FIND(")",C149,1)-5)</f>
        <v xml:space="preserve">4.11.35.1 </v>
      </c>
      <c r="B149" t="str">
        <f>IF(ISNUMBER(FIND("[PASSED]",C149,1)),"PASSED","FAILED")</f>
        <v>PASSED</v>
      </c>
      <c r="C149" s="16" t="s">
        <v>390</v>
      </c>
      <c r="D149" s="6"/>
      <c r="G149" s="13">
        <v>4</v>
      </c>
      <c r="H149" s="13">
        <v>11</v>
      </c>
      <c r="I149" s="13">
        <v>35</v>
      </c>
      <c r="J149" s="13">
        <v>1</v>
      </c>
    </row>
    <row r="150" spans="1:12" ht="15" hidden="1" customHeight="1" x14ac:dyDescent="0.35">
      <c r="A150" s="6" t="str">
        <f>MID(C150,2,FIND(")",C150,1)-5)</f>
        <v xml:space="preserve">4.11.36.3.2 </v>
      </c>
      <c r="B150" t="str">
        <f>IF(ISNUMBER(FIND("[PASSED]",C150,1)),"PASSED","FAILED")</f>
        <v>PASSED</v>
      </c>
      <c r="C150" s="16" t="s">
        <v>181</v>
      </c>
      <c r="G150" s="13">
        <v>4</v>
      </c>
      <c r="H150" s="13">
        <v>11</v>
      </c>
      <c r="I150" s="13">
        <v>36</v>
      </c>
      <c r="J150" s="13">
        <v>3</v>
      </c>
      <c r="K150" s="13">
        <v>2</v>
      </c>
    </row>
    <row r="151" spans="1:12" ht="15" hidden="1" customHeight="1" x14ac:dyDescent="0.35">
      <c r="A151" s="6" t="str">
        <f>MID(C151,2,FIND(")",C151,1)-5)</f>
        <v xml:space="preserve">4.11.36.4.2.1 </v>
      </c>
      <c r="B151" t="str">
        <f>IF(ISNUMBER(FIND("[PASSED]",C151,1)),"PASSED","FAILED")</f>
        <v>PASSED</v>
      </c>
      <c r="C151" s="16" t="s">
        <v>416</v>
      </c>
      <c r="D151" s="6"/>
      <c r="G151" s="13">
        <v>4</v>
      </c>
      <c r="H151" s="13">
        <v>11</v>
      </c>
      <c r="I151" s="13">
        <v>36</v>
      </c>
      <c r="J151" s="13">
        <v>4</v>
      </c>
      <c r="K151" s="13">
        <v>2</v>
      </c>
      <c r="L151" s="13">
        <v>1</v>
      </c>
    </row>
    <row r="152" spans="1:12" ht="15" hidden="1" customHeight="1" x14ac:dyDescent="0.35">
      <c r="A152" s="6" t="str">
        <f>MID(C152,2,FIND(")",C152,1)-5)</f>
        <v xml:space="preserve">4.11.36.4.3.1 </v>
      </c>
      <c r="B152" t="str">
        <f>IF(ISNUMBER(FIND("[PASSED]",C152,1)),"PASSED","FAILED")</f>
        <v>PASSED</v>
      </c>
      <c r="C152" s="16" t="s">
        <v>340</v>
      </c>
      <c r="D152" s="6"/>
      <c r="G152" s="13">
        <v>4</v>
      </c>
      <c r="H152" s="13">
        <v>11</v>
      </c>
      <c r="I152" s="13">
        <v>36</v>
      </c>
      <c r="J152" s="13">
        <v>4</v>
      </c>
      <c r="K152" s="13">
        <v>3</v>
      </c>
      <c r="L152" s="13">
        <v>1</v>
      </c>
    </row>
    <row r="153" spans="1:12" ht="15" hidden="1" customHeight="1" x14ac:dyDescent="0.35">
      <c r="A153" s="6" t="str">
        <f>MID(C153,2,FIND(")",C153,1)-5)</f>
        <v xml:space="preserve">4.11.36.4.3.2 </v>
      </c>
      <c r="B153" t="str">
        <f>IF(ISNUMBER(FIND("[PASSED]",C153,1)),"PASSED","FAILED")</f>
        <v>PASSED</v>
      </c>
      <c r="C153" s="16" t="s">
        <v>15</v>
      </c>
      <c r="D153" s="6"/>
      <c r="G153" s="13">
        <v>4</v>
      </c>
      <c r="H153" s="13">
        <v>11</v>
      </c>
      <c r="I153" s="13">
        <v>36</v>
      </c>
      <c r="J153" s="13">
        <v>4</v>
      </c>
      <c r="K153" s="13">
        <v>3</v>
      </c>
      <c r="L153" s="13">
        <v>2</v>
      </c>
    </row>
    <row r="154" spans="1:12" ht="15" hidden="1" customHeight="1" x14ac:dyDescent="0.35">
      <c r="A154" s="6" t="str">
        <f>MID(C154,2,FIND(")",C154,1)-5)</f>
        <v xml:space="preserve">4.11.36.4.3.3 </v>
      </c>
      <c r="B154" t="str">
        <f>IF(ISNUMBER(FIND("[PASSED]",C154,1)),"PASSED","FAILED")</f>
        <v>PASSED</v>
      </c>
      <c r="C154" s="16" t="s">
        <v>359</v>
      </c>
      <c r="D154" s="6"/>
      <c r="G154" s="13">
        <v>4</v>
      </c>
      <c r="H154" s="13">
        <v>11</v>
      </c>
      <c r="I154" s="13">
        <v>36</v>
      </c>
      <c r="J154" s="13">
        <v>4</v>
      </c>
      <c r="K154" s="13">
        <v>3</v>
      </c>
      <c r="L154" s="13">
        <v>3</v>
      </c>
    </row>
    <row r="155" spans="1:12" ht="15" hidden="1" customHeight="1" x14ac:dyDescent="0.35">
      <c r="A155" s="6" t="str">
        <f>MID(C155,2,FIND(")",C155,1)-5)</f>
        <v xml:space="preserve">4.11.36.4.3.4 </v>
      </c>
      <c r="B155" t="str">
        <f>IF(ISNUMBER(FIND("[PASSED]",C155,1)),"PASSED","FAILED")</f>
        <v>PASSED</v>
      </c>
      <c r="C155" s="16" t="s">
        <v>387</v>
      </c>
      <c r="D155" s="6"/>
      <c r="G155" s="13">
        <v>4</v>
      </c>
      <c r="H155" s="13">
        <v>11</v>
      </c>
      <c r="I155" s="13">
        <v>36</v>
      </c>
      <c r="J155" s="13">
        <v>4</v>
      </c>
      <c r="K155" s="13">
        <v>3</v>
      </c>
      <c r="L155" s="13">
        <v>4</v>
      </c>
    </row>
    <row r="156" spans="1:12" ht="15" customHeight="1" x14ac:dyDescent="0.35">
      <c r="A156" s="6" t="str">
        <f>MID(C156,2,FIND(")",C156,1)-5)</f>
        <v xml:space="preserve">4.11.36.4.3.5 </v>
      </c>
      <c r="B156" t="str">
        <f>IF(ISNUMBER(FIND("[PASSED]",C156,1)),"PASSED","FAILED")</f>
        <v>FAILED</v>
      </c>
      <c r="C156" s="16" t="s">
        <v>452</v>
      </c>
      <c r="D156" s="6" t="s">
        <v>507</v>
      </c>
      <c r="F156" s="6" t="s">
        <v>332</v>
      </c>
      <c r="G156" s="13">
        <v>4</v>
      </c>
      <c r="H156" s="13">
        <v>11</v>
      </c>
      <c r="I156" s="13">
        <v>36</v>
      </c>
      <c r="J156" s="13">
        <v>4</v>
      </c>
      <c r="K156" s="13">
        <v>3</v>
      </c>
      <c r="L156" s="13">
        <v>5</v>
      </c>
    </row>
    <row r="157" spans="1:12" ht="15" hidden="1" customHeight="1" x14ac:dyDescent="0.35">
      <c r="A157" s="6" t="str">
        <f>MID(C157,2,FIND(")",C157,1)-5)</f>
        <v xml:space="preserve">4.11.36.4.9.1 </v>
      </c>
      <c r="B157" t="str">
        <f>IF(ISNUMBER(FIND("[PASSED]",C157,1)),"PASSED","FAILED")</f>
        <v>PASSED</v>
      </c>
      <c r="C157" s="16" t="s">
        <v>50</v>
      </c>
      <c r="D157" s="6"/>
      <c r="G157" s="13">
        <v>4</v>
      </c>
      <c r="H157" s="13">
        <v>11</v>
      </c>
      <c r="I157" s="13">
        <v>36</v>
      </c>
      <c r="J157" s="13">
        <v>4</v>
      </c>
      <c r="K157" s="13">
        <v>9</v>
      </c>
      <c r="L157" s="13">
        <v>1</v>
      </c>
    </row>
    <row r="158" spans="1:12" ht="15" hidden="1" customHeight="1" x14ac:dyDescent="0.35">
      <c r="A158" s="6" t="str">
        <f>MID(C158,2,FIND(")",C158,1)-5)</f>
        <v xml:space="preserve">4.11.36.4.9.2 </v>
      </c>
      <c r="B158" t="str">
        <f>IF(ISNUMBER(FIND("[PASSED]",C158,1)),"PASSED","FAILED")</f>
        <v>PASSED</v>
      </c>
      <c r="C158" s="16" t="s">
        <v>242</v>
      </c>
      <c r="D158" s="6"/>
      <c r="G158" s="13">
        <v>4</v>
      </c>
      <c r="H158" s="13">
        <v>11</v>
      </c>
      <c r="I158" s="13">
        <v>36</v>
      </c>
      <c r="J158" s="13">
        <v>4</v>
      </c>
      <c r="K158" s="13">
        <v>9</v>
      </c>
      <c r="L158" s="13">
        <v>2</v>
      </c>
    </row>
    <row r="159" spans="1:12" ht="15" hidden="1" customHeight="1" x14ac:dyDescent="0.35">
      <c r="A159" s="6" t="str">
        <f>MID(C159,2,FIND(")",C159,1)-5)</f>
        <v xml:space="preserve">4.11.36.4.9.3 </v>
      </c>
      <c r="B159" t="str">
        <f>IF(ISNUMBER(FIND("[PASSED]",C159,1)),"PASSED","FAILED")</f>
        <v>PASSED</v>
      </c>
      <c r="C159" s="16" t="s">
        <v>112</v>
      </c>
      <c r="D159" s="6"/>
      <c r="G159" s="13">
        <v>4</v>
      </c>
      <c r="H159" s="13">
        <v>11</v>
      </c>
      <c r="I159" s="13">
        <v>36</v>
      </c>
      <c r="J159" s="13">
        <v>4</v>
      </c>
      <c r="K159" s="13">
        <v>9</v>
      </c>
      <c r="L159" s="13">
        <v>3</v>
      </c>
    </row>
    <row r="160" spans="1:12" ht="15" hidden="1" customHeight="1" x14ac:dyDescent="0.35">
      <c r="A160" s="6" t="str">
        <f>MID(C160,2,FIND(")",C160,1)-5)</f>
        <v xml:space="preserve">4.11.36.4.9.4 </v>
      </c>
      <c r="B160" t="str">
        <f>IF(ISNUMBER(FIND("[PASSED]",C160,1)),"PASSED","FAILED")</f>
        <v>PASSED</v>
      </c>
      <c r="C160" s="16" t="s">
        <v>445</v>
      </c>
      <c r="D160" s="6"/>
      <c r="G160" s="13">
        <v>4</v>
      </c>
      <c r="H160" s="13">
        <v>11</v>
      </c>
      <c r="I160" s="13">
        <v>36</v>
      </c>
      <c r="J160" s="13">
        <v>4</v>
      </c>
      <c r="K160" s="13">
        <v>9</v>
      </c>
      <c r="L160" s="13">
        <v>4</v>
      </c>
    </row>
    <row r="161" spans="1:12" ht="15" hidden="1" customHeight="1" x14ac:dyDescent="0.35">
      <c r="A161" s="6" t="str">
        <f>MID(C161,2,FIND(")",C161,1)-5)</f>
        <v xml:space="preserve">4.11.36.4.9.5 </v>
      </c>
      <c r="B161" t="str">
        <f>IF(ISNUMBER(FIND("[PASSED]",C161,1)),"PASSED","FAILED")</f>
        <v>PASSED</v>
      </c>
      <c r="C161" s="16" t="s">
        <v>75</v>
      </c>
      <c r="D161" s="6"/>
      <c r="G161" s="13">
        <v>4</v>
      </c>
      <c r="H161" s="13">
        <v>11</v>
      </c>
      <c r="I161" s="13">
        <v>36</v>
      </c>
      <c r="J161" s="13">
        <v>4</v>
      </c>
      <c r="K161" s="13">
        <v>9</v>
      </c>
      <c r="L161" s="13">
        <v>5</v>
      </c>
    </row>
    <row r="162" spans="1:12" ht="15" hidden="1" customHeight="1" x14ac:dyDescent="0.35">
      <c r="A162" s="6" t="str">
        <f>MID(C162,2,FIND(")",C162,1)-5)</f>
        <v xml:space="preserve">4.11.36.4.10.1 </v>
      </c>
      <c r="B162" t="str">
        <f>IF(ISNUMBER(FIND("[PASSED]",C162,1)),"PASSED","FAILED")</f>
        <v>PASSED</v>
      </c>
      <c r="C162" s="16" t="s">
        <v>432</v>
      </c>
      <c r="D162" s="6"/>
      <c r="G162" s="13">
        <v>4</v>
      </c>
      <c r="H162" s="13">
        <v>11</v>
      </c>
      <c r="I162" s="13">
        <v>36</v>
      </c>
      <c r="J162" s="13">
        <v>4</v>
      </c>
      <c r="K162" s="13">
        <v>10</v>
      </c>
      <c r="L162" s="13">
        <v>1</v>
      </c>
    </row>
    <row r="163" spans="1:12" ht="15" hidden="1" customHeight="1" x14ac:dyDescent="0.35">
      <c r="A163" s="6" t="str">
        <f>MID(C163,2,FIND(")",C163,1)-5)</f>
        <v xml:space="preserve">4.11.36.4.10.2 </v>
      </c>
      <c r="B163" t="str">
        <f>IF(ISNUMBER(FIND("[PASSED]",C163,1)),"PASSED","FAILED")</f>
        <v>PASSED</v>
      </c>
      <c r="C163" s="16" t="s">
        <v>404</v>
      </c>
      <c r="D163" s="6"/>
      <c r="G163" s="13">
        <v>4</v>
      </c>
      <c r="H163" s="13">
        <v>11</v>
      </c>
      <c r="I163" s="13">
        <v>36</v>
      </c>
      <c r="J163" s="13">
        <v>4</v>
      </c>
      <c r="K163" s="13">
        <v>10</v>
      </c>
      <c r="L163" s="13">
        <v>2</v>
      </c>
    </row>
    <row r="164" spans="1:12" ht="15" hidden="1" customHeight="1" x14ac:dyDescent="0.35">
      <c r="A164" s="6" t="str">
        <f>MID(C164,2,FIND(")",C164,1)-5)</f>
        <v xml:space="preserve">4.11.36.4.11.1 </v>
      </c>
      <c r="B164" t="str">
        <f>IF(ISNUMBER(FIND("[PASSED]",C164,1)),"PASSED","FAILED")</f>
        <v>PASSED</v>
      </c>
      <c r="C164" s="16" t="s">
        <v>282</v>
      </c>
      <c r="D164" s="6"/>
      <c r="G164" s="13">
        <v>4</v>
      </c>
      <c r="H164" s="13">
        <v>11</v>
      </c>
      <c r="I164" s="13">
        <v>36</v>
      </c>
      <c r="J164" s="13">
        <v>4</v>
      </c>
      <c r="K164" s="13">
        <v>11</v>
      </c>
      <c r="L164" s="13">
        <v>1</v>
      </c>
    </row>
    <row r="165" spans="1:12" ht="15" hidden="1" customHeight="1" x14ac:dyDescent="0.35">
      <c r="A165" s="6" t="str">
        <f>MID(C165,2,FIND(")",C165,1)-5)</f>
        <v xml:space="preserve">4.11.37.1 </v>
      </c>
      <c r="B165" t="str">
        <f>IF(ISNUMBER(FIND("[PASSED]",C165,1)),"PASSED","FAILED")</f>
        <v>PASSED</v>
      </c>
      <c r="C165" s="16" t="s">
        <v>279</v>
      </c>
      <c r="D165" s="6"/>
      <c r="G165" s="13">
        <v>4</v>
      </c>
      <c r="H165" s="13">
        <v>11</v>
      </c>
      <c r="I165" s="13">
        <v>37</v>
      </c>
      <c r="J165" s="13">
        <v>1</v>
      </c>
    </row>
    <row r="166" spans="1:12" ht="15" hidden="1" customHeight="1" x14ac:dyDescent="0.35">
      <c r="A166" s="6" t="str">
        <f>MID(C166,2,FIND(")",C166,1)-5)</f>
        <v xml:space="preserve">4.11.42.1 </v>
      </c>
      <c r="B166" t="str">
        <f>IF(ISNUMBER(FIND("[PASSED]",C166,1)),"PASSED","FAILED")</f>
        <v>PASSED</v>
      </c>
      <c r="C166" s="16" t="s">
        <v>226</v>
      </c>
      <c r="D166" s="6"/>
      <c r="G166" s="13">
        <v>4</v>
      </c>
      <c r="H166" s="13">
        <v>11</v>
      </c>
      <c r="I166" s="13">
        <v>42</v>
      </c>
      <c r="J166" s="13">
        <v>1</v>
      </c>
    </row>
    <row r="167" spans="1:12" ht="15" customHeight="1" x14ac:dyDescent="0.35">
      <c r="A167" s="6" t="str">
        <f>MID(C167,2,FIND(")",C167,1)-5)</f>
        <v xml:space="preserve">4.11.42.2 </v>
      </c>
      <c r="B167" t="str">
        <f>IF(ISNUMBER(FIND("[PASSED]",C167,1)),"PASSED","FAILED")</f>
        <v>FAILED</v>
      </c>
      <c r="C167" s="16" t="s">
        <v>465</v>
      </c>
      <c r="D167" s="13" t="s">
        <v>480</v>
      </c>
      <c r="E167" s="6" t="s">
        <v>333</v>
      </c>
      <c r="F167" s="6" t="s">
        <v>479</v>
      </c>
      <c r="G167" s="13">
        <v>4</v>
      </c>
      <c r="H167" s="13">
        <v>11</v>
      </c>
      <c r="I167" s="13">
        <v>42</v>
      </c>
      <c r="J167" s="13">
        <v>2</v>
      </c>
    </row>
    <row r="168" spans="1:12" ht="15" hidden="1" customHeight="1" x14ac:dyDescent="0.35">
      <c r="A168" s="6" t="str">
        <f>MID(C168,2,FIND(")",C168,1)-5)</f>
        <v xml:space="preserve">4.11.49.1 </v>
      </c>
      <c r="B168" t="str">
        <f>IF(ISNUMBER(FIND("[PASSED]",C168,1)),"PASSED","FAILED")</f>
        <v>PASSED</v>
      </c>
      <c r="C168" s="16" t="s">
        <v>434</v>
      </c>
      <c r="D168" s="6"/>
      <c r="G168" s="13">
        <v>4</v>
      </c>
      <c r="H168" s="13">
        <v>11</v>
      </c>
      <c r="I168" s="13">
        <v>49</v>
      </c>
      <c r="J168" s="13">
        <v>1</v>
      </c>
    </row>
    <row r="169" spans="1:12" ht="15" hidden="1" customHeight="1" x14ac:dyDescent="0.35">
      <c r="A169" s="6" t="str">
        <f>MID(C169,2,FIND(")",C169,1)-5)</f>
        <v xml:space="preserve">4.11.50.1 </v>
      </c>
      <c r="B169" t="str">
        <f>IF(ISNUMBER(FIND("[PASSED]",C169,1)),"PASSED","FAILED")</f>
        <v>PASSED</v>
      </c>
      <c r="C169" s="16" t="s">
        <v>38</v>
      </c>
      <c r="D169" s="6"/>
      <c r="G169" s="13">
        <v>4</v>
      </c>
      <c r="H169" s="13">
        <v>11</v>
      </c>
      <c r="I169" s="13">
        <v>50</v>
      </c>
      <c r="J169" s="13">
        <v>1</v>
      </c>
    </row>
    <row r="170" spans="1:12" ht="15" hidden="1" customHeight="1" x14ac:dyDescent="0.35">
      <c r="A170" s="6" t="str">
        <f>MID(C170,2,FIND(")",C170,1)-5)</f>
        <v xml:space="preserve">4.11.50.2 </v>
      </c>
      <c r="B170" t="str">
        <f>IF(ISNUMBER(FIND("[PASSED]",C170,1)),"PASSED","FAILED")</f>
        <v>PASSED</v>
      </c>
      <c r="C170" s="16" t="s">
        <v>311</v>
      </c>
      <c r="D170" s="6"/>
      <c r="G170" s="13">
        <v>4</v>
      </c>
      <c r="H170" s="13">
        <v>11</v>
      </c>
      <c r="I170" s="13">
        <v>50</v>
      </c>
      <c r="J170" s="13">
        <v>2</v>
      </c>
    </row>
    <row r="171" spans="1:12" ht="15" hidden="1" customHeight="1" x14ac:dyDescent="0.35">
      <c r="A171" s="6" t="str">
        <f>MID(C171,2,FIND(")",C171,1)-5)</f>
        <v xml:space="preserve">4.11.52.2.1 </v>
      </c>
      <c r="B171" t="str">
        <f>IF(ISNUMBER(FIND("[PASSED]",C171,1)),"PASSED","FAILED")</f>
        <v>PASSED</v>
      </c>
      <c r="C171" s="16" t="s">
        <v>388</v>
      </c>
      <c r="D171" s="6"/>
      <c r="G171" s="13">
        <v>4</v>
      </c>
      <c r="H171" s="13">
        <v>11</v>
      </c>
      <c r="I171" s="13">
        <v>52</v>
      </c>
      <c r="J171" s="13">
        <v>2</v>
      </c>
      <c r="K171" s="13">
        <v>1</v>
      </c>
    </row>
    <row r="172" spans="1:12" ht="15" hidden="1" customHeight="1" x14ac:dyDescent="0.35">
      <c r="A172" s="6" t="str">
        <f>MID(C172,2,FIND(")",C172,1)-5)</f>
        <v xml:space="preserve">4.11.54.1 </v>
      </c>
      <c r="B172" t="str">
        <f>IF(ISNUMBER(FIND("[PASSED]",C172,1)),"PASSED","FAILED")</f>
        <v>PASSED</v>
      </c>
      <c r="C172" s="16" t="s">
        <v>424</v>
      </c>
      <c r="D172" s="6"/>
      <c r="G172" s="13">
        <v>4</v>
      </c>
      <c r="H172" s="13">
        <v>11</v>
      </c>
      <c r="I172" s="13">
        <v>54</v>
      </c>
      <c r="J172" s="13">
        <v>1</v>
      </c>
    </row>
    <row r="173" spans="1:12" ht="15" hidden="1" customHeight="1" x14ac:dyDescent="0.35">
      <c r="A173" s="6" t="str">
        <f>MID(C173,2,FIND(")",C173,1)-5)</f>
        <v xml:space="preserve">4.11.54.2 </v>
      </c>
      <c r="B173" t="str">
        <f>IF(ISNUMBER(FIND("[PASSED]",C173,1)),"PASSED","FAILED")</f>
        <v>PASSED</v>
      </c>
      <c r="C173" s="16" t="s">
        <v>343</v>
      </c>
      <c r="D173" s="6"/>
      <c r="G173" s="13">
        <v>4</v>
      </c>
      <c r="H173" s="13">
        <v>11</v>
      </c>
      <c r="I173" s="13">
        <v>54</v>
      </c>
      <c r="J173" s="13">
        <v>2</v>
      </c>
    </row>
    <row r="174" spans="1:12" ht="15" hidden="1" customHeight="1" x14ac:dyDescent="0.35">
      <c r="A174" s="6" t="str">
        <f>MID(C174,2,FIND(")",C174,1)-5)</f>
        <v xml:space="preserve">4.11.55.1.1 </v>
      </c>
      <c r="B174" t="str">
        <f>IF(ISNUMBER(FIND("[PASSED]",C174,1)),"PASSED","FAILED")</f>
        <v>PASSED</v>
      </c>
      <c r="C174" s="16" t="s">
        <v>68</v>
      </c>
      <c r="D174" s="6"/>
      <c r="G174" s="13">
        <v>4</v>
      </c>
      <c r="H174" s="13">
        <v>11</v>
      </c>
      <c r="I174" s="13">
        <v>55</v>
      </c>
      <c r="J174" s="13">
        <v>1</v>
      </c>
      <c r="K174" s="13">
        <v>1</v>
      </c>
    </row>
    <row r="175" spans="1:12" ht="15" hidden="1" customHeight="1" x14ac:dyDescent="0.35">
      <c r="A175" s="6" t="str">
        <f>MID(C175,2,FIND(")",C175,1)-5)</f>
        <v xml:space="preserve">4.11.55.1.2 </v>
      </c>
      <c r="B175" t="str">
        <f>IF(ISNUMBER(FIND("[PASSED]",C175,1)),"PASSED","FAILED")</f>
        <v>PASSED</v>
      </c>
      <c r="C175" s="16" t="s">
        <v>27</v>
      </c>
      <c r="D175" s="6"/>
      <c r="G175" s="13">
        <v>4</v>
      </c>
      <c r="H175" s="13">
        <v>11</v>
      </c>
      <c r="I175" s="13">
        <v>55</v>
      </c>
      <c r="J175" s="13">
        <v>1</v>
      </c>
      <c r="K175" s="13">
        <v>2</v>
      </c>
    </row>
    <row r="176" spans="1:12" ht="15" hidden="1" customHeight="1" x14ac:dyDescent="0.35">
      <c r="A176" s="6" t="str">
        <f>MID(C176,2,FIND(")",C176,1)-5)</f>
        <v xml:space="preserve">4.11.55.1.3 </v>
      </c>
      <c r="B176" t="str">
        <f>IF(ISNUMBER(FIND("[PASSED]",C176,1)),"PASSED","FAILED")</f>
        <v>PASSED</v>
      </c>
      <c r="C176" s="16" t="s">
        <v>284</v>
      </c>
      <c r="D176" s="6"/>
      <c r="G176" s="13">
        <v>4</v>
      </c>
      <c r="H176" s="13">
        <v>11</v>
      </c>
      <c r="I176" s="13">
        <v>55</v>
      </c>
      <c r="J176" s="13">
        <v>1</v>
      </c>
      <c r="K176" s="13">
        <v>3</v>
      </c>
    </row>
    <row r="177" spans="1:11" ht="15" hidden="1" customHeight="1" x14ac:dyDescent="0.35">
      <c r="A177" s="6" t="str">
        <f>MID(C177,2,FIND(")",C177,1)-5)</f>
        <v xml:space="preserve">4.11.55.2.1 </v>
      </c>
      <c r="B177" t="str">
        <f>IF(ISNUMBER(FIND("[PASSED]",C177,1)),"PASSED","FAILED")</f>
        <v>PASSED</v>
      </c>
      <c r="C177" s="16" t="s">
        <v>196</v>
      </c>
      <c r="D177" s="6"/>
      <c r="G177" s="13">
        <v>4</v>
      </c>
      <c r="H177" s="13">
        <v>11</v>
      </c>
      <c r="I177" s="13">
        <v>55</v>
      </c>
      <c r="J177" s="13">
        <v>2</v>
      </c>
      <c r="K177" s="13">
        <v>1</v>
      </c>
    </row>
    <row r="178" spans="1:11" ht="15" hidden="1" customHeight="1" x14ac:dyDescent="0.35">
      <c r="A178" s="6" t="str">
        <f>MID(C178,2,FIND(")",C178,1)-5)</f>
        <v xml:space="preserve">4.11.55.2.2 </v>
      </c>
      <c r="B178" t="str">
        <f>IF(ISNUMBER(FIND("[PASSED]",C178,1)),"PASSED","FAILED")</f>
        <v>PASSED</v>
      </c>
      <c r="C178" s="16" t="s">
        <v>453</v>
      </c>
      <c r="D178" s="6"/>
      <c r="G178" s="13">
        <v>4</v>
      </c>
      <c r="H178" s="13">
        <v>11</v>
      </c>
      <c r="I178" s="13">
        <v>55</v>
      </c>
      <c r="J178" s="13">
        <v>2</v>
      </c>
      <c r="K178" s="13">
        <v>2</v>
      </c>
    </row>
    <row r="179" spans="1:11" ht="15" hidden="1" customHeight="1" x14ac:dyDescent="0.35">
      <c r="A179" s="6" t="str">
        <f>MID(C179,2,FIND(")",C179,1)-5)</f>
        <v xml:space="preserve">4.11.55.2.3 </v>
      </c>
      <c r="B179" t="str">
        <f>IF(ISNUMBER(FIND("[PASSED]",C179,1)),"PASSED","FAILED")</f>
        <v>PASSED</v>
      </c>
      <c r="C179" s="16" t="s">
        <v>62</v>
      </c>
      <c r="D179" s="6"/>
      <c r="G179" s="13">
        <v>4</v>
      </c>
      <c r="H179" s="13">
        <v>11</v>
      </c>
      <c r="I179" s="13">
        <v>55</v>
      </c>
      <c r="J179" s="13">
        <v>2</v>
      </c>
      <c r="K179" s="13">
        <v>3</v>
      </c>
    </row>
    <row r="180" spans="1:11" ht="15" hidden="1" customHeight="1" x14ac:dyDescent="0.35">
      <c r="A180" s="6" t="str">
        <f>MID(C180,2,FIND(")",C180,1)-5)</f>
        <v xml:space="preserve">4.11.55.2.4 </v>
      </c>
      <c r="B180" t="str">
        <f>IF(ISNUMBER(FIND("[PASSED]",C180,1)),"PASSED","FAILED")</f>
        <v>PASSED</v>
      </c>
      <c r="C180" s="16" t="s">
        <v>45</v>
      </c>
      <c r="D180" s="6"/>
      <c r="G180" s="13">
        <v>4</v>
      </c>
      <c r="H180" s="13">
        <v>11</v>
      </c>
      <c r="I180" s="13">
        <v>55</v>
      </c>
      <c r="J180" s="13">
        <v>2</v>
      </c>
      <c r="K180" s="13">
        <v>4</v>
      </c>
    </row>
    <row r="181" spans="1:11" ht="15" hidden="1" customHeight="1" x14ac:dyDescent="0.35">
      <c r="A181" s="6" t="str">
        <f>MID(C181,2,FIND(")",C181,1)-5)</f>
        <v xml:space="preserve">4.11.56.1 </v>
      </c>
      <c r="B181" t="str">
        <f>IF(ISNUMBER(FIND("[PASSED]",C181,1)),"PASSED","FAILED")</f>
        <v>PASSED</v>
      </c>
      <c r="C181" s="16" t="s">
        <v>437</v>
      </c>
      <c r="D181" s="6"/>
      <c r="G181" s="13">
        <v>4</v>
      </c>
      <c r="H181" s="13">
        <v>11</v>
      </c>
      <c r="I181" s="13">
        <v>56</v>
      </c>
      <c r="J181" s="13">
        <v>1</v>
      </c>
    </row>
    <row r="182" spans="1:11" ht="15" hidden="1" customHeight="1" x14ac:dyDescent="0.35">
      <c r="A182" s="6" t="str">
        <f>MID(C182,2,FIND(")",C182,1)-5)</f>
        <v xml:space="preserve">6.1 </v>
      </c>
      <c r="B182" t="str">
        <f>IF(ISNUMBER(FIND("[PASSED]",C182,1)),"PASSED","FAILED")</f>
        <v>PASSED</v>
      </c>
      <c r="C182" s="16" t="s">
        <v>175</v>
      </c>
      <c r="D182" s="6"/>
      <c r="G182" s="13">
        <v>6</v>
      </c>
      <c r="H182" s="13">
        <v>1</v>
      </c>
    </row>
    <row r="183" spans="1:11" ht="15" hidden="1" customHeight="1" x14ac:dyDescent="0.35">
      <c r="A183" s="6" t="str">
        <f>MID(C183,2,FIND(")",C183,1)-5)</f>
        <v xml:space="preserve">6.2 </v>
      </c>
      <c r="B183" t="str">
        <f>IF(ISNUMBER(FIND("[PASSED]",C183,1)),"PASSED","FAILED")</f>
        <v>PASSED</v>
      </c>
      <c r="C183" s="16" t="s">
        <v>303</v>
      </c>
      <c r="G183" s="13">
        <v>6</v>
      </c>
      <c r="H183" s="13">
        <v>2</v>
      </c>
    </row>
    <row r="184" spans="1:11" ht="15" hidden="1" customHeight="1" x14ac:dyDescent="0.35">
      <c r="A184" s="6" t="str">
        <f>MID(C184,2,FIND(")",C184,1)-5)</f>
        <v xml:space="preserve">6.3 </v>
      </c>
      <c r="B184" t="str">
        <f>IF(ISNUMBER(FIND("[PASSED]",C184,1)),"PASSED","FAILED")</f>
        <v>PASSED</v>
      </c>
      <c r="C184" s="16" t="s">
        <v>269</v>
      </c>
      <c r="D184" s="6"/>
      <c r="G184" s="13">
        <v>6</v>
      </c>
      <c r="H184" s="13">
        <v>3</v>
      </c>
    </row>
    <row r="185" spans="1:11" ht="15" hidden="1" customHeight="1" x14ac:dyDescent="0.35">
      <c r="A185" s="6" t="str">
        <f>MID(C185,2,FIND(")",C185,1)-5)</f>
        <v xml:space="preserve">6.4 </v>
      </c>
      <c r="B185" t="str">
        <f>IF(ISNUMBER(FIND("[PASSED]",C185,1)),"PASSED","FAILED")</f>
        <v>PASSED</v>
      </c>
      <c r="C185" s="16" t="s">
        <v>42</v>
      </c>
      <c r="D185" s="6"/>
      <c r="G185" s="13">
        <v>6</v>
      </c>
      <c r="H185" s="13">
        <v>4</v>
      </c>
    </row>
    <row r="186" spans="1:11" ht="15" hidden="1" customHeight="1" x14ac:dyDescent="0.35">
      <c r="A186" s="6" t="str">
        <f>MID(C186,2,FIND(")",C186,1)-5)</f>
        <v xml:space="preserve">6.5 </v>
      </c>
      <c r="B186" t="str">
        <f>IF(ISNUMBER(FIND("[PASSED]",C186,1)),"PASSED","FAILED")</f>
        <v>PASSED</v>
      </c>
      <c r="C186" s="16" t="s">
        <v>46</v>
      </c>
      <c r="G186" s="13">
        <v>6</v>
      </c>
      <c r="H186" s="13">
        <v>5</v>
      </c>
    </row>
    <row r="187" spans="1:11" ht="15" hidden="1" customHeight="1" x14ac:dyDescent="0.35">
      <c r="A187" s="6" t="str">
        <f>MID(C187,2,FIND(")",C187,1)-5)</f>
        <v xml:space="preserve">6.6 </v>
      </c>
      <c r="B187" t="str">
        <f>IF(ISNUMBER(FIND("[PASSED]",C187,1)),"PASSED","FAILED")</f>
        <v>PASSED</v>
      </c>
      <c r="C187" s="16" t="s">
        <v>171</v>
      </c>
      <c r="D187" s="6"/>
      <c r="G187" s="13">
        <v>6</v>
      </c>
      <c r="H187" s="13">
        <v>6</v>
      </c>
    </row>
    <row r="188" spans="1:11" ht="15" hidden="1" customHeight="1" x14ac:dyDescent="0.35">
      <c r="A188" s="6" t="str">
        <f>MID(C188,2,FIND(")",C188,1)-5)</f>
        <v xml:space="preserve">6.7 </v>
      </c>
      <c r="B188" t="str">
        <f>IF(ISNUMBER(FIND("[PASSED]",C188,1)),"PASSED","FAILED")</f>
        <v>PASSED</v>
      </c>
      <c r="C188" s="16" t="s">
        <v>154</v>
      </c>
      <c r="D188" s="6"/>
      <c r="G188" s="13">
        <v>6</v>
      </c>
      <c r="H188" s="13">
        <v>7</v>
      </c>
    </row>
    <row r="189" spans="1:11" ht="15" hidden="1" customHeight="1" x14ac:dyDescent="0.35">
      <c r="A189" s="6" t="str">
        <f>MID(C189,2,FIND(")",C189,1)-5)</f>
        <v xml:space="preserve">6.8 </v>
      </c>
      <c r="B189" t="str">
        <f>IF(ISNUMBER(FIND("[PASSED]",C189,1)),"PASSED","FAILED")</f>
        <v>PASSED</v>
      </c>
      <c r="C189" s="16" t="s">
        <v>88</v>
      </c>
      <c r="D189" s="6"/>
      <c r="G189" s="13">
        <v>6</v>
      </c>
      <c r="H189" s="13">
        <v>8</v>
      </c>
    </row>
    <row r="190" spans="1:11" ht="15" hidden="1" customHeight="1" x14ac:dyDescent="0.35">
      <c r="A190" s="6" t="str">
        <f>MID(C190,2,FIND(")",C190,1)-5)</f>
        <v xml:space="preserve">6.9 </v>
      </c>
      <c r="B190" t="str">
        <f>IF(ISNUMBER(FIND("[PASSED]",C190,1)),"PASSED","FAILED")</f>
        <v>PASSED</v>
      </c>
      <c r="C190" s="16" t="s">
        <v>128</v>
      </c>
      <c r="D190" s="6"/>
      <c r="G190" s="13">
        <v>6</v>
      </c>
      <c r="H190" s="13">
        <v>9</v>
      </c>
    </row>
    <row r="191" spans="1:11" ht="15" hidden="1" customHeight="1" x14ac:dyDescent="0.35">
      <c r="A191" s="6" t="str">
        <f>MID(C191,2,FIND(")",C191,1)-5)</f>
        <v xml:space="preserve">6.10 </v>
      </c>
      <c r="B191" t="str">
        <f>IF(ISNUMBER(FIND("[PASSED]",C191,1)),"PASSED","FAILED")</f>
        <v>PASSED</v>
      </c>
      <c r="C191" s="16" t="s">
        <v>163</v>
      </c>
      <c r="D191" s="6"/>
      <c r="G191" s="13">
        <v>6</v>
      </c>
      <c r="H191" s="13">
        <v>10</v>
      </c>
    </row>
    <row r="192" spans="1:11" ht="15" hidden="1" customHeight="1" x14ac:dyDescent="0.35">
      <c r="A192" s="6" t="str">
        <f>MID(C192,2,FIND(")",C192,1)-5)</f>
        <v xml:space="preserve">6.11 </v>
      </c>
      <c r="B192" t="str">
        <f>IF(ISNUMBER(FIND("[PASSED]",C192,1)),"PASSED","FAILED")</f>
        <v>PASSED</v>
      </c>
      <c r="C192" s="16" t="s">
        <v>259</v>
      </c>
      <c r="D192" s="6"/>
      <c r="G192" s="13">
        <v>6</v>
      </c>
      <c r="H192" s="13">
        <v>11</v>
      </c>
    </row>
    <row r="193" spans="1:8" ht="15" hidden="1" customHeight="1" x14ac:dyDescent="0.35">
      <c r="A193" s="6" t="str">
        <f>MID(C193,2,FIND(")",C193,1)-5)</f>
        <v xml:space="preserve">6.12 </v>
      </c>
      <c r="B193" t="str">
        <f>IF(ISNUMBER(FIND("[PASSED]",C193,1)),"PASSED","FAILED")</f>
        <v>PASSED</v>
      </c>
      <c r="C193" s="16" t="s">
        <v>136</v>
      </c>
      <c r="D193" s="6"/>
      <c r="G193" s="13">
        <v>6</v>
      </c>
      <c r="H193" s="13">
        <v>12</v>
      </c>
    </row>
    <row r="194" spans="1:8" ht="15" hidden="1" customHeight="1" x14ac:dyDescent="0.35">
      <c r="A194" s="6" t="str">
        <f>MID(C194,2,FIND(")",C194,1)-5)</f>
        <v xml:space="preserve">6.13 </v>
      </c>
      <c r="B194" t="str">
        <f>IF(ISNUMBER(FIND("[PASSED]",C194,1)),"PASSED","FAILED")</f>
        <v>PASSED</v>
      </c>
      <c r="C194" s="16" t="s">
        <v>28</v>
      </c>
      <c r="D194" s="6"/>
      <c r="G194" s="13">
        <v>6</v>
      </c>
      <c r="H194" s="13">
        <v>13</v>
      </c>
    </row>
    <row r="195" spans="1:8" ht="15" hidden="1" customHeight="1" x14ac:dyDescent="0.35">
      <c r="A195" s="6" t="str">
        <f>MID(C195,2,FIND(")",C195,1)-5)</f>
        <v xml:space="preserve">6.14 </v>
      </c>
      <c r="B195" t="str">
        <f>IF(ISNUMBER(FIND("[PASSED]",C195,1)),"PASSED","FAILED")</f>
        <v>PASSED</v>
      </c>
      <c r="C195" s="16" t="s">
        <v>82</v>
      </c>
      <c r="D195" s="6"/>
      <c r="G195" s="13">
        <v>6</v>
      </c>
      <c r="H195" s="13">
        <v>14</v>
      </c>
    </row>
    <row r="196" spans="1:8" ht="15" hidden="1" customHeight="1" x14ac:dyDescent="0.35">
      <c r="A196" s="6" t="str">
        <f>MID(C196,2,FIND(")",C196,1)-5)</f>
        <v xml:space="preserve">6.15 </v>
      </c>
      <c r="B196" t="str">
        <f>IF(ISNUMBER(FIND("[PASSED]",C196,1)),"PASSED","FAILED")</f>
        <v>PASSED</v>
      </c>
      <c r="C196" s="16" t="s">
        <v>268</v>
      </c>
      <c r="D196" s="6"/>
      <c r="G196" s="13">
        <v>6</v>
      </c>
      <c r="H196" s="13">
        <v>15</v>
      </c>
    </row>
    <row r="197" spans="1:8" ht="15" hidden="1" customHeight="1" x14ac:dyDescent="0.35">
      <c r="A197" s="6" t="str">
        <f>MID(C197,2,FIND(")",C197,1)-5)</f>
        <v xml:space="preserve">6.16 </v>
      </c>
      <c r="B197" t="str">
        <f>IF(ISNUMBER(FIND("[PASSED]",C197,1)),"PASSED","FAILED")</f>
        <v>PASSED</v>
      </c>
      <c r="C197" s="16" t="s">
        <v>97</v>
      </c>
      <c r="D197" s="6"/>
      <c r="G197" s="13">
        <v>6</v>
      </c>
      <c r="H197" s="13">
        <v>16</v>
      </c>
    </row>
    <row r="198" spans="1:8" ht="15" hidden="1" customHeight="1" x14ac:dyDescent="0.35">
      <c r="A198" s="6" t="str">
        <f>MID(C198,2,FIND(")",C198,1)-5)</f>
        <v xml:space="preserve">6.17 </v>
      </c>
      <c r="B198" t="str">
        <f>IF(ISNUMBER(FIND("[PASSED]",C198,1)),"PASSED","FAILED")</f>
        <v>PASSED</v>
      </c>
      <c r="C198" s="16" t="s">
        <v>235</v>
      </c>
      <c r="D198" s="6"/>
      <c r="G198" s="13">
        <v>6</v>
      </c>
      <c r="H198" s="13">
        <v>17</v>
      </c>
    </row>
    <row r="199" spans="1:8" ht="15" hidden="1" customHeight="1" x14ac:dyDescent="0.35">
      <c r="A199" s="6" t="str">
        <f>MID(C199,2,FIND(")",C199,1)-5)</f>
        <v xml:space="preserve">6.18 </v>
      </c>
      <c r="B199" t="str">
        <f>IF(ISNUMBER(FIND("[PASSED]",C199,1)),"PASSED","FAILED")</f>
        <v>PASSED</v>
      </c>
      <c r="C199" s="16" t="s">
        <v>289</v>
      </c>
      <c r="D199" s="6"/>
      <c r="G199" s="13">
        <v>6</v>
      </c>
      <c r="H199" s="13">
        <v>18</v>
      </c>
    </row>
    <row r="200" spans="1:8" ht="15" hidden="1" customHeight="1" x14ac:dyDescent="0.35">
      <c r="A200" s="6" t="str">
        <f>MID(C200,2,FIND(")",C200,1)-5)</f>
        <v xml:space="preserve">6.19 </v>
      </c>
      <c r="B200" t="str">
        <f>IF(ISNUMBER(FIND("[PASSED]",C200,1)),"PASSED","FAILED")</f>
        <v>PASSED</v>
      </c>
      <c r="C200" s="16" t="s">
        <v>145</v>
      </c>
      <c r="D200" s="6"/>
      <c r="G200" s="13">
        <v>6</v>
      </c>
      <c r="H200" s="13">
        <v>19</v>
      </c>
    </row>
    <row r="201" spans="1:8" ht="15" hidden="1" customHeight="1" x14ac:dyDescent="0.35">
      <c r="A201" s="6" t="str">
        <f>MID(C201,2,FIND(")",C201,1)-5)</f>
        <v xml:space="preserve">6.20 </v>
      </c>
      <c r="B201" t="str">
        <f>IF(ISNUMBER(FIND("[PASSED]",C201,1)),"PASSED","FAILED")</f>
        <v>PASSED</v>
      </c>
      <c r="C201" s="16" t="s">
        <v>176</v>
      </c>
      <c r="D201" s="6"/>
      <c r="G201" s="13">
        <v>6</v>
      </c>
      <c r="H201" s="13">
        <v>20</v>
      </c>
    </row>
    <row r="202" spans="1:8" ht="15" hidden="1" customHeight="1" x14ac:dyDescent="0.35">
      <c r="A202" s="6" t="str">
        <f>MID(C202,2,FIND(")",C202,1)-5)</f>
        <v xml:space="preserve">6.21 </v>
      </c>
      <c r="B202" t="str">
        <f>IF(ISNUMBER(FIND("[PASSED]",C202,1)),"PASSED","FAILED")</f>
        <v>PASSED</v>
      </c>
      <c r="C202" s="16" t="s">
        <v>113</v>
      </c>
      <c r="D202" s="6"/>
      <c r="G202" s="13">
        <v>6</v>
      </c>
      <c r="H202" s="13">
        <v>21</v>
      </c>
    </row>
    <row r="203" spans="1:8" ht="15" hidden="1" customHeight="1" x14ac:dyDescent="0.35">
      <c r="A203" s="6" t="str">
        <f>MID(C203,2,FIND(")",C203,1)-5)</f>
        <v xml:space="preserve">6.22 </v>
      </c>
      <c r="B203" t="str">
        <f>IF(ISNUMBER(FIND("[PASSED]",C203,1)),"PASSED","FAILED")</f>
        <v>PASSED</v>
      </c>
      <c r="C203" s="16" t="s">
        <v>300</v>
      </c>
      <c r="D203" s="6"/>
      <c r="G203" s="13">
        <v>6</v>
      </c>
      <c r="H203" s="13">
        <v>22</v>
      </c>
    </row>
    <row r="204" spans="1:8" ht="15" hidden="1" customHeight="1" x14ac:dyDescent="0.35">
      <c r="A204" s="6" t="str">
        <f>MID(C204,2,FIND(")",C204,1)-5)</f>
        <v xml:space="preserve">6.23 </v>
      </c>
      <c r="B204" t="str">
        <f>IF(ISNUMBER(FIND("[PASSED]",C204,1)),"PASSED","FAILED")</f>
        <v>PASSED</v>
      </c>
      <c r="C204" s="16" t="s">
        <v>117</v>
      </c>
      <c r="G204" s="13">
        <v>6</v>
      </c>
      <c r="H204" s="13">
        <v>23</v>
      </c>
    </row>
    <row r="205" spans="1:8" ht="15" hidden="1" customHeight="1" x14ac:dyDescent="0.35">
      <c r="A205" s="6" t="str">
        <f>MID(C205,2,FIND(")",C205,1)-5)</f>
        <v xml:space="preserve">6.24 </v>
      </c>
      <c r="B205" t="str">
        <f>IF(ISNUMBER(FIND("[PASSED]",C205,1)),"PASSED","FAILED")</f>
        <v>PASSED</v>
      </c>
      <c r="C205" s="16" t="s">
        <v>315</v>
      </c>
      <c r="D205" s="6"/>
      <c r="G205" s="13">
        <v>6</v>
      </c>
      <c r="H205" s="13">
        <v>24</v>
      </c>
    </row>
    <row r="206" spans="1:8" ht="15" hidden="1" customHeight="1" x14ac:dyDescent="0.35">
      <c r="A206" s="6" t="str">
        <f>MID(C206,2,FIND(")",C206,1)-5)</f>
        <v xml:space="preserve">6.25 </v>
      </c>
      <c r="B206" t="str">
        <f>IF(ISNUMBER(FIND("[PASSED]",C206,1)),"PASSED","FAILED")</f>
        <v>PASSED</v>
      </c>
      <c r="C206" s="16" t="s">
        <v>158</v>
      </c>
      <c r="D206" s="6"/>
      <c r="G206" s="13">
        <v>6</v>
      </c>
      <c r="H206" s="13">
        <v>25</v>
      </c>
    </row>
    <row r="207" spans="1:8" ht="15" hidden="1" customHeight="1" x14ac:dyDescent="0.35">
      <c r="A207" s="6" t="str">
        <f>MID(C207,2,FIND(")",C207,1)-5)</f>
        <v xml:space="preserve">6.26 </v>
      </c>
      <c r="B207" t="str">
        <f>IF(ISNUMBER(FIND("[PASSED]",C207,1)),"PASSED","FAILED")</f>
        <v>PASSED</v>
      </c>
      <c r="C207" s="16" t="s">
        <v>257</v>
      </c>
      <c r="D207" s="6"/>
      <c r="G207" s="13">
        <v>6</v>
      </c>
      <c r="H207" s="13">
        <v>26</v>
      </c>
    </row>
    <row r="208" spans="1:8" ht="15" hidden="1" customHeight="1" x14ac:dyDescent="0.35">
      <c r="A208" s="6" t="str">
        <f>MID(C208,2,FIND(")",C208,1)-5)</f>
        <v xml:space="preserve">6.27 </v>
      </c>
      <c r="B208" t="str">
        <f>IF(ISNUMBER(FIND("[PASSED]",C208,1)),"PASSED","FAILED")</f>
        <v>PASSED</v>
      </c>
      <c r="C208" s="16" t="s">
        <v>20</v>
      </c>
      <c r="D208" s="6"/>
      <c r="G208" s="13">
        <v>6</v>
      </c>
      <c r="H208" s="13">
        <v>27</v>
      </c>
    </row>
    <row r="209" spans="1:8" ht="15" hidden="1" customHeight="1" x14ac:dyDescent="0.35">
      <c r="A209" s="6" t="str">
        <f>MID(C209,2,FIND(")",C209,1)-5)</f>
        <v xml:space="preserve">8.1 </v>
      </c>
      <c r="B209" t="str">
        <f>IF(ISNUMBER(FIND("[PASSED]",C209,1)),"PASSED","FAILED")</f>
        <v>PASSED</v>
      </c>
      <c r="C209" s="16" t="s">
        <v>379</v>
      </c>
      <c r="D209" s="6"/>
      <c r="G209" s="13">
        <v>8</v>
      </c>
      <c r="H209" s="13">
        <v>1</v>
      </c>
    </row>
    <row r="210" spans="1:8" ht="15" hidden="1" customHeight="1" x14ac:dyDescent="0.35">
      <c r="A210" s="6" t="str">
        <f>MID(C210,2,FIND(")",C210,1)-5)</f>
        <v xml:space="preserve">8.2 </v>
      </c>
      <c r="B210" t="str">
        <f>IF(ISNUMBER(FIND("[PASSED]",C210,1)),"PASSED","FAILED")</f>
        <v>PASSED</v>
      </c>
      <c r="C210" s="16" t="s">
        <v>373</v>
      </c>
      <c r="D210" s="6"/>
      <c r="G210" s="13">
        <v>8</v>
      </c>
      <c r="H210" s="13">
        <v>2</v>
      </c>
    </row>
    <row r="211" spans="1:8" ht="15" hidden="1" customHeight="1" x14ac:dyDescent="0.35">
      <c r="A211" s="6" t="str">
        <f>MID(C211,2,FIND(")",C211,1)-5)</f>
        <v xml:space="preserve">8.3 </v>
      </c>
      <c r="B211" t="str">
        <f>IF(ISNUMBER(FIND("[PASSED]",C211,1)),"PASSED","FAILED")</f>
        <v>PASSED</v>
      </c>
      <c r="C211" s="16" t="s">
        <v>403</v>
      </c>
      <c r="D211" s="6"/>
      <c r="G211" s="13">
        <v>8</v>
      </c>
      <c r="H211" s="13">
        <v>3</v>
      </c>
    </row>
    <row r="212" spans="1:8" ht="15" customHeight="1" x14ac:dyDescent="0.35">
      <c r="A212" s="6" t="str">
        <f>MID(C212,2,FIND(")",C212,1)-5)</f>
        <v xml:space="preserve">12.1 </v>
      </c>
      <c r="B212" t="str">
        <f>IF(ISNUMBER(FIND("[PASSED]",C212,1)),"PASSED","FAILED")</f>
        <v>FAILED</v>
      </c>
      <c r="C212" s="16" t="s">
        <v>464</v>
      </c>
      <c r="D212" s="13" t="s">
        <v>481</v>
      </c>
      <c r="F212" s="6" t="s">
        <v>479</v>
      </c>
      <c r="G212" s="13">
        <v>12</v>
      </c>
      <c r="H212" s="13">
        <v>1</v>
      </c>
    </row>
    <row r="213" spans="1:8" ht="15" hidden="1" customHeight="1" x14ac:dyDescent="0.35">
      <c r="A213" s="6" t="str">
        <f>MID(C213,2,FIND(")",C213,1)-5)</f>
        <v xml:space="preserve">15.1 </v>
      </c>
      <c r="B213" t="str">
        <f>IF(ISNUMBER(FIND("[PASSED]",C213,1)),"PASSED","FAILED")</f>
        <v>PASSED</v>
      </c>
      <c r="C213" s="16" t="s">
        <v>9</v>
      </c>
      <c r="D213" s="6"/>
      <c r="G213" s="13">
        <v>15</v>
      </c>
      <c r="H213" s="13">
        <v>1</v>
      </c>
    </row>
    <row r="214" spans="1:8" ht="15" hidden="1" customHeight="1" x14ac:dyDescent="0.35">
      <c r="A214" s="6" t="str">
        <f>MID(C214,2,FIND(")",C214,1)-5)</f>
        <v xml:space="preserve">15.2 </v>
      </c>
      <c r="B214" t="str">
        <f>IF(ISNUMBER(FIND("[PASSED]",C214,1)),"PASSED","FAILED")</f>
        <v>PASSED</v>
      </c>
      <c r="C214" s="16" t="s">
        <v>499</v>
      </c>
      <c r="D214" s="6"/>
      <c r="G214" s="13">
        <v>15</v>
      </c>
      <c r="H214" s="13">
        <v>2</v>
      </c>
    </row>
    <row r="215" spans="1:8" ht="15" hidden="1" customHeight="1" x14ac:dyDescent="0.35">
      <c r="A215" s="6" t="str">
        <f>MID(C215,2,FIND(")",C215,1)-5)</f>
        <v xml:space="preserve">22.1 </v>
      </c>
      <c r="B215" t="str">
        <f>IF(ISNUMBER(FIND("[PASSED]",C215,1)),"PASSED","FAILED")</f>
        <v>PASSED</v>
      </c>
      <c r="C215" s="16" t="s">
        <v>59</v>
      </c>
      <c r="D215" s="6"/>
      <c r="G215" s="13">
        <v>22</v>
      </c>
      <c r="H215" s="13">
        <v>1</v>
      </c>
    </row>
    <row r="216" spans="1:8" ht="15" hidden="1" customHeight="1" x14ac:dyDescent="0.35">
      <c r="A216" s="6" t="str">
        <f>MID(C216,2,FIND(")",C216,1)-5)</f>
        <v xml:space="preserve">22.2 </v>
      </c>
      <c r="B216" t="str">
        <f>IF(ISNUMBER(FIND("[PASSED]",C216,1)),"PASSED","FAILED")</f>
        <v>PASSED</v>
      </c>
      <c r="C216" s="16" t="s">
        <v>309</v>
      </c>
      <c r="D216" s="6"/>
      <c r="G216" s="13">
        <v>22</v>
      </c>
      <c r="H216" s="13">
        <v>2</v>
      </c>
    </row>
    <row r="217" spans="1:8" ht="15" hidden="1" customHeight="1" x14ac:dyDescent="0.35">
      <c r="A217" s="6" t="str">
        <f>MID(C217,2,FIND(")",C217,1)-5)</f>
        <v xml:space="preserve">22.3 </v>
      </c>
      <c r="B217" t="str">
        <f>IF(ISNUMBER(FIND("[PASSED]",C217,1)),"PASSED","FAILED")</f>
        <v>PASSED</v>
      </c>
      <c r="C217" s="16" t="s">
        <v>90</v>
      </c>
      <c r="D217" s="6"/>
      <c r="G217" s="13">
        <v>22</v>
      </c>
      <c r="H217" s="13">
        <v>3</v>
      </c>
    </row>
    <row r="218" spans="1:8" ht="15" hidden="1" customHeight="1" x14ac:dyDescent="0.35">
      <c r="A218" s="6" t="str">
        <f>MID(C218,2,FIND(")",C218,1)-5)</f>
        <v xml:space="preserve">22.4 </v>
      </c>
      <c r="B218" t="str">
        <f>IF(ISNUMBER(FIND("[PASSED]",C218,1)),"PASSED","FAILED")</f>
        <v>PASSED</v>
      </c>
      <c r="C218" s="16" t="s">
        <v>49</v>
      </c>
      <c r="D218" s="6"/>
      <c r="G218" s="13">
        <v>22</v>
      </c>
      <c r="H218" s="13">
        <v>4</v>
      </c>
    </row>
    <row r="219" spans="1:8" ht="15" hidden="1" customHeight="1" x14ac:dyDescent="0.35">
      <c r="A219" s="6" t="str">
        <f>MID(C219,2,FIND(")",C219,1)-5)</f>
        <v xml:space="preserve">22.5 </v>
      </c>
      <c r="B219" t="str">
        <f>IF(ISNUMBER(FIND("[PASSED]",C219,1)),"PASSED","FAILED")</f>
        <v>PASSED</v>
      </c>
      <c r="C219" s="16" t="s">
        <v>275</v>
      </c>
      <c r="D219" s="6"/>
      <c r="G219" s="13">
        <v>22</v>
      </c>
      <c r="H219" s="13">
        <v>5</v>
      </c>
    </row>
    <row r="220" spans="1:8" ht="15" hidden="1" customHeight="1" x14ac:dyDescent="0.35">
      <c r="A220" s="6" t="str">
        <f>MID(C220,2,FIND(")",C220,1)-5)</f>
        <v xml:space="preserve">22.6 </v>
      </c>
      <c r="B220" t="str">
        <f>IF(ISNUMBER(FIND("[PASSED]",C220,1)),"PASSED","FAILED")</f>
        <v>PASSED</v>
      </c>
      <c r="C220" s="16" t="s">
        <v>61</v>
      </c>
      <c r="D220" s="20"/>
      <c r="G220" s="13">
        <v>22</v>
      </c>
      <c r="H220" s="13">
        <v>6</v>
      </c>
    </row>
    <row r="221" spans="1:8" ht="15" hidden="1" customHeight="1" x14ac:dyDescent="0.35">
      <c r="A221" s="6" t="str">
        <f>MID(C221,2,FIND(")",C221,1)-5)</f>
        <v xml:space="preserve">22.7 </v>
      </c>
      <c r="B221" t="str">
        <f>IF(ISNUMBER(FIND("[PASSED]",C221,1)),"PASSED","FAILED")</f>
        <v>PASSED</v>
      </c>
      <c r="C221" s="16" t="s">
        <v>102</v>
      </c>
      <c r="D221" s="20"/>
      <c r="G221" s="13">
        <v>22</v>
      </c>
      <c r="H221" s="13">
        <v>7</v>
      </c>
    </row>
    <row r="222" spans="1:8" ht="15" hidden="1" customHeight="1" x14ac:dyDescent="0.35">
      <c r="A222" s="6" t="str">
        <f>MID(C222,2,FIND(")",C222,1)-5)</f>
        <v xml:space="preserve">22.8 </v>
      </c>
      <c r="B222" t="str">
        <f>IF(ISNUMBER(FIND("[PASSED]",C222,1)),"PASSED","FAILED")</f>
        <v>PASSED</v>
      </c>
      <c r="C222" s="16" t="s">
        <v>191</v>
      </c>
      <c r="D222" s="20"/>
      <c r="G222" s="13">
        <v>22</v>
      </c>
      <c r="H222" s="13">
        <v>8</v>
      </c>
    </row>
    <row r="223" spans="1:8" ht="15" hidden="1" customHeight="1" x14ac:dyDescent="0.35">
      <c r="A223" s="6" t="str">
        <f>MID(C223,2,FIND(")",C223,1)-5)</f>
        <v xml:space="preserve">22.9 </v>
      </c>
      <c r="B223" t="str">
        <f>IF(ISNUMBER(FIND("[PASSED]",C223,1)),"PASSED","FAILED")</f>
        <v>PASSED</v>
      </c>
      <c r="C223" s="16" t="s">
        <v>118</v>
      </c>
      <c r="D223" s="6"/>
      <c r="G223" s="13">
        <v>22</v>
      </c>
      <c r="H223" s="13">
        <v>9</v>
      </c>
    </row>
    <row r="224" spans="1:8" ht="15" hidden="1" customHeight="1" x14ac:dyDescent="0.35">
      <c r="A224" s="6" t="str">
        <f>MID(C224,2,FIND(")",C224,1)-5)</f>
        <v xml:space="preserve">22.10 </v>
      </c>
      <c r="B224" t="str">
        <f>IF(ISNUMBER(FIND("[PASSED]",C224,1)),"PASSED","FAILED")</f>
        <v>PASSED</v>
      </c>
      <c r="C224" s="16" t="s">
        <v>214</v>
      </c>
      <c r="D224" s="6"/>
      <c r="G224" s="13">
        <v>22</v>
      </c>
      <c r="H224" s="13">
        <v>10</v>
      </c>
    </row>
    <row r="225" spans="1:8" ht="15" hidden="1" customHeight="1" x14ac:dyDescent="0.35">
      <c r="A225" s="6" t="str">
        <f>MID(C225,2,FIND(")",C225,1)-5)</f>
        <v xml:space="preserve">22.11 </v>
      </c>
      <c r="B225" t="str">
        <f>IF(ISNUMBER(FIND("[PASSED]",C225,1)),"PASSED","FAILED")</f>
        <v>PASSED</v>
      </c>
      <c r="C225" s="16" t="s">
        <v>32</v>
      </c>
      <c r="D225" s="6"/>
      <c r="G225" s="13">
        <v>22</v>
      </c>
      <c r="H225" s="13">
        <v>11</v>
      </c>
    </row>
    <row r="226" spans="1:8" ht="15" hidden="1" customHeight="1" x14ac:dyDescent="0.35">
      <c r="A226" s="6" t="str">
        <f>MID(C226,2,FIND(")",C226,1)-5)</f>
        <v xml:space="preserve">22.12 </v>
      </c>
      <c r="B226" t="str">
        <f>IF(ISNUMBER(FIND("[PASSED]",C226,1)),"PASSED","FAILED")</f>
        <v>PASSED</v>
      </c>
      <c r="C226" s="16" t="s">
        <v>58</v>
      </c>
      <c r="D226" s="6"/>
      <c r="G226" s="13">
        <v>22</v>
      </c>
      <c r="H226" s="13">
        <v>12</v>
      </c>
    </row>
    <row r="227" spans="1:8" ht="15" hidden="1" customHeight="1" x14ac:dyDescent="0.35">
      <c r="A227" s="6" t="str">
        <f>MID(C227,2,FIND(")",C227,1)-5)</f>
        <v xml:space="preserve">22.13 </v>
      </c>
      <c r="B227" t="str">
        <f>IF(ISNUMBER(FIND("[PASSED]",C227,1)),"PASSED","FAILED")</f>
        <v>PASSED</v>
      </c>
      <c r="C227" s="16" t="s">
        <v>92</v>
      </c>
      <c r="D227" s="6"/>
      <c r="G227" s="13">
        <v>22</v>
      </c>
      <c r="H227" s="13">
        <v>13</v>
      </c>
    </row>
    <row r="228" spans="1:8" ht="15" hidden="1" customHeight="1" x14ac:dyDescent="0.35">
      <c r="A228" s="6" t="str">
        <f>MID(C228,2,FIND(")",C228,1)-5)</f>
        <v xml:space="preserve">22.14 </v>
      </c>
      <c r="B228" t="str">
        <f>IF(ISNUMBER(FIND("[PASSED]",C228,1)),"PASSED","FAILED")</f>
        <v>PASSED</v>
      </c>
      <c r="C228" s="16" t="s">
        <v>197</v>
      </c>
      <c r="D228" s="6"/>
      <c r="G228" s="13">
        <v>22</v>
      </c>
      <c r="H228" s="13">
        <v>14</v>
      </c>
    </row>
    <row r="229" spans="1:8" ht="15" hidden="1" customHeight="1" x14ac:dyDescent="0.35">
      <c r="A229" s="6" t="str">
        <f>MID(C229,2,FIND(")",C229,1)-5)</f>
        <v xml:space="preserve">22.15 </v>
      </c>
      <c r="B229" t="str">
        <f>IF(ISNUMBER(FIND("[PASSED]",C229,1)),"PASSED","FAILED")</f>
        <v>PASSED</v>
      </c>
      <c r="C229" s="16" t="s">
        <v>85</v>
      </c>
      <c r="D229" s="6"/>
      <c r="G229" s="13">
        <v>22</v>
      </c>
      <c r="H229" s="13">
        <v>15</v>
      </c>
    </row>
    <row r="230" spans="1:8" ht="15" hidden="1" customHeight="1" x14ac:dyDescent="0.35">
      <c r="A230" s="6" t="str">
        <f>MID(C230,2,FIND(")",C230,1)-5)</f>
        <v xml:space="preserve">22.16 </v>
      </c>
      <c r="B230" t="str">
        <f>IF(ISNUMBER(FIND("[PASSED]",C230,1)),"PASSED","FAILED")</f>
        <v>PASSED</v>
      </c>
      <c r="C230" s="16" t="s">
        <v>120</v>
      </c>
      <c r="D230" s="6"/>
      <c r="G230" s="13">
        <v>22</v>
      </c>
      <c r="H230" s="13">
        <v>16</v>
      </c>
    </row>
    <row r="231" spans="1:8" ht="15" hidden="1" customHeight="1" x14ac:dyDescent="0.35">
      <c r="A231" s="6" t="str">
        <f>MID(C231,2,FIND(")",C231,1)-5)</f>
        <v xml:space="preserve">22.17 </v>
      </c>
      <c r="B231" t="str">
        <f>IF(ISNUMBER(FIND("[PASSED]",C231,1)),"PASSED","FAILED")</f>
        <v>PASSED</v>
      </c>
      <c r="C231" s="16" t="s">
        <v>267</v>
      </c>
      <c r="D231" s="6"/>
      <c r="G231" s="13">
        <v>22</v>
      </c>
      <c r="H231" s="13">
        <v>17</v>
      </c>
    </row>
    <row r="232" spans="1:8" ht="15" hidden="1" customHeight="1" x14ac:dyDescent="0.35">
      <c r="A232" s="6" t="str">
        <f>MID(C232,2,FIND(")",C232,1)-5)</f>
        <v xml:space="preserve">22.18 </v>
      </c>
      <c r="B232" t="str">
        <f>IF(ISNUMBER(FIND("[PASSED]",C232,1)),"PASSED","FAILED")</f>
        <v>PASSED</v>
      </c>
      <c r="C232" s="16" t="s">
        <v>143</v>
      </c>
      <c r="D232" s="6"/>
      <c r="G232" s="13">
        <v>22</v>
      </c>
      <c r="H232" s="13">
        <v>18</v>
      </c>
    </row>
    <row r="233" spans="1:8" ht="15" hidden="1" customHeight="1" x14ac:dyDescent="0.35">
      <c r="A233" s="6" t="str">
        <f>MID(C233,2,FIND(")",C233,1)-5)</f>
        <v xml:space="preserve">22.19 </v>
      </c>
      <c r="B233" t="str">
        <f>IF(ISNUMBER(FIND("[PASSED]",C233,1)),"PASSED","FAILED")</f>
        <v>PASSED</v>
      </c>
      <c r="C233" s="16" t="s">
        <v>99</v>
      </c>
      <c r="D233" s="6"/>
      <c r="G233" s="13">
        <v>22</v>
      </c>
      <c r="H233" s="13">
        <v>19</v>
      </c>
    </row>
    <row r="234" spans="1:8" ht="15" hidden="1" customHeight="1" x14ac:dyDescent="0.35">
      <c r="A234" s="6" t="str">
        <f>MID(C234,2,FIND(")",C234,1)-5)</f>
        <v xml:space="preserve">22.20 </v>
      </c>
      <c r="B234" t="str">
        <f>IF(ISNUMBER(FIND("[PASSED]",C234,1)),"PASSED","FAILED")</f>
        <v>PASSED</v>
      </c>
      <c r="C234" s="16" t="s">
        <v>53</v>
      </c>
      <c r="D234" s="6"/>
      <c r="G234" s="13">
        <v>22</v>
      </c>
      <c r="H234" s="13">
        <v>20</v>
      </c>
    </row>
    <row r="235" spans="1:8" ht="15" customHeight="1" x14ac:dyDescent="0.35">
      <c r="A235" s="6" t="str">
        <f>MID(C235,2,FIND(")",C235,1)-5)</f>
        <v xml:space="preserve">22.21 </v>
      </c>
      <c r="B235" t="str">
        <f>IF(ISNUMBER(FIND("[PASSED]",C235,1)),"PASSED","FAILED")</f>
        <v>FAILED</v>
      </c>
      <c r="C235" s="16" t="s">
        <v>178</v>
      </c>
      <c r="D235" s="13" t="s">
        <v>482</v>
      </c>
      <c r="E235" s="6" t="s">
        <v>333</v>
      </c>
      <c r="F235" s="6" t="s">
        <v>479</v>
      </c>
      <c r="G235" s="13">
        <v>22</v>
      </c>
      <c r="H235" s="13">
        <v>21</v>
      </c>
    </row>
    <row r="236" spans="1:8" ht="15" hidden="1" customHeight="1" x14ac:dyDescent="0.35">
      <c r="A236" s="6" t="str">
        <f>MID(C236,2,FIND(")",C236,1)-5)</f>
        <v xml:space="preserve">22.22 </v>
      </c>
      <c r="B236" t="str">
        <f>IF(ISNUMBER(FIND("[PASSED]",C236,1)),"PASSED","FAILED")</f>
        <v>PASSED</v>
      </c>
      <c r="C236" s="16" t="s">
        <v>111</v>
      </c>
      <c r="D236" s="6"/>
      <c r="G236" s="13">
        <v>22</v>
      </c>
      <c r="H236" s="13">
        <v>22</v>
      </c>
    </row>
    <row r="237" spans="1:8" ht="15" hidden="1" customHeight="1" x14ac:dyDescent="0.35">
      <c r="A237" s="6" t="str">
        <f>MID(C237,2,FIND(")",C237,1)-5)</f>
        <v xml:space="preserve">22.23 </v>
      </c>
      <c r="B237" t="str">
        <f>IF(ISNUMBER(FIND("[PASSED]",C237,1)),"PASSED","FAILED")</f>
        <v>PASSED</v>
      </c>
      <c r="C237" s="16" t="s">
        <v>162</v>
      </c>
      <c r="D237" s="6"/>
      <c r="G237" s="13">
        <v>22</v>
      </c>
      <c r="H237" s="13">
        <v>23</v>
      </c>
    </row>
    <row r="238" spans="1:8" ht="15" hidden="1" customHeight="1" x14ac:dyDescent="0.35">
      <c r="A238" s="6" t="str">
        <f>MID(C238,2,FIND(")",C238,1)-5)</f>
        <v xml:space="preserve">22.24 </v>
      </c>
      <c r="B238" t="str">
        <f>IF(ISNUMBER(FIND("[PASSED]",C238,1)),"PASSED","FAILED")</f>
        <v>PASSED</v>
      </c>
      <c r="C238" s="16" t="s">
        <v>421</v>
      </c>
      <c r="D238" s="6"/>
      <c r="G238" s="13">
        <v>22</v>
      </c>
      <c r="H238" s="13">
        <v>24</v>
      </c>
    </row>
    <row r="239" spans="1:8" ht="15" hidden="1" customHeight="1" x14ac:dyDescent="0.35">
      <c r="A239" s="6" t="str">
        <f>MID(C239,2,FIND(")",C239,1)-5)</f>
        <v xml:space="preserve">22.25 </v>
      </c>
      <c r="B239" t="str">
        <f>IF(ISNUMBER(FIND("[PASSED]",C239,1)),"PASSED","FAILED")</f>
        <v>PASSED</v>
      </c>
      <c r="C239" s="16" t="s">
        <v>385</v>
      </c>
      <c r="D239" s="6"/>
      <c r="G239" s="13">
        <v>22</v>
      </c>
      <c r="H239" s="13">
        <v>25</v>
      </c>
    </row>
    <row r="240" spans="1:8" ht="15" hidden="1" customHeight="1" x14ac:dyDescent="0.35">
      <c r="A240" s="6" t="str">
        <f>MID(C240,2,FIND(")",C240,1)-5)</f>
        <v xml:space="preserve">22.26 </v>
      </c>
      <c r="B240" t="str">
        <f>IF(ISNUMBER(FIND("[PASSED]",C240,1)),"PASSED","FAILED")</f>
        <v>PASSED</v>
      </c>
      <c r="C240" s="16" t="s">
        <v>56</v>
      </c>
      <c r="D240" s="6"/>
      <c r="G240" s="13">
        <v>22</v>
      </c>
      <c r="H240" s="13">
        <v>26</v>
      </c>
    </row>
    <row r="241" spans="1:8" ht="15" hidden="1" customHeight="1" x14ac:dyDescent="0.35">
      <c r="A241" s="6" t="str">
        <f>MID(C241,2,FIND(")",C241,1)-5)</f>
        <v xml:space="preserve">22.27 </v>
      </c>
      <c r="B241" t="str">
        <f>IF(ISNUMBER(FIND("[PASSED]",C241,1)),"PASSED","FAILED")</f>
        <v>PASSED</v>
      </c>
      <c r="C241" s="16" t="s">
        <v>281</v>
      </c>
      <c r="D241" s="6"/>
      <c r="G241" s="13">
        <v>22</v>
      </c>
      <c r="H241" s="13">
        <v>27</v>
      </c>
    </row>
    <row r="242" spans="1:8" ht="15" hidden="1" customHeight="1" x14ac:dyDescent="0.35">
      <c r="A242" s="6" t="str">
        <f>MID(C242,2,FIND(")",C242,1)-5)</f>
        <v xml:space="preserve">22.28 </v>
      </c>
      <c r="B242" t="str">
        <f>IF(ISNUMBER(FIND("[PASSED]",C242,1)),"PASSED","FAILED")</f>
        <v>PASSED</v>
      </c>
      <c r="C242" s="16" t="s">
        <v>122</v>
      </c>
      <c r="D242" s="6"/>
      <c r="G242" s="13">
        <v>22</v>
      </c>
      <c r="H242" s="13">
        <v>28</v>
      </c>
    </row>
    <row r="243" spans="1:8" ht="15" hidden="1" customHeight="1" x14ac:dyDescent="0.35">
      <c r="A243" s="6" t="str">
        <f>MID(C243,2,FIND(")",C243,1)-5)</f>
        <v xml:space="preserve">22.29 </v>
      </c>
      <c r="B243" t="str">
        <f>IF(ISNUMBER(FIND("[PASSED]",C243,1)),"PASSED","FAILED")</f>
        <v>PASSED</v>
      </c>
      <c r="C243" s="16" t="s">
        <v>223</v>
      </c>
      <c r="D243" s="6"/>
      <c r="G243" s="13">
        <v>22</v>
      </c>
      <c r="H243" s="13">
        <v>29</v>
      </c>
    </row>
    <row r="244" spans="1:8" ht="15" hidden="1" customHeight="1" x14ac:dyDescent="0.35">
      <c r="A244" s="6" t="str">
        <f>MID(C244,2,FIND(")",C244,1)-5)</f>
        <v xml:space="preserve">22.30 </v>
      </c>
      <c r="B244" t="str">
        <f>IF(ISNUMBER(FIND("[PASSED]",C244,1)),"PASSED","FAILED")</f>
        <v>PASSED</v>
      </c>
      <c r="C244" s="16" t="s">
        <v>33</v>
      </c>
      <c r="D244" s="6"/>
      <c r="G244" s="13">
        <v>22</v>
      </c>
      <c r="H244" s="13">
        <v>30</v>
      </c>
    </row>
    <row r="245" spans="1:8" ht="15" hidden="1" customHeight="1" x14ac:dyDescent="0.35">
      <c r="A245" s="6" t="str">
        <f>MID(C245,2,FIND(")",C245,1)-5)</f>
        <v xml:space="preserve">22.31 </v>
      </c>
      <c r="B245" t="str">
        <f>IF(ISNUMBER(FIND("[PASSED]",C245,1)),"PASSED","FAILED")</f>
        <v>PASSED</v>
      </c>
      <c r="C245" s="16" t="s">
        <v>381</v>
      </c>
      <c r="D245" s="6"/>
      <c r="G245" s="13">
        <v>22</v>
      </c>
      <c r="H245" s="13">
        <v>31</v>
      </c>
    </row>
    <row r="246" spans="1:8" ht="15" hidden="1" customHeight="1" x14ac:dyDescent="0.35">
      <c r="A246" s="6" t="str">
        <f>MID(C246,2,FIND(")",C246,1)-5)</f>
        <v xml:space="preserve">22.32 </v>
      </c>
      <c r="B246" t="str">
        <f>IF(ISNUMBER(FIND("[PASSED]",C246,1)),"PASSED","FAILED")</f>
        <v>PASSED</v>
      </c>
      <c r="C246" s="16" t="s">
        <v>155</v>
      </c>
      <c r="D246" s="6"/>
      <c r="G246" s="13">
        <v>22</v>
      </c>
      <c r="H246" s="13">
        <v>32</v>
      </c>
    </row>
    <row r="247" spans="1:8" ht="15" hidden="1" customHeight="1" x14ac:dyDescent="0.35">
      <c r="A247" s="6" t="str">
        <f>MID(C247,2,FIND(")",C247,1)-5)</f>
        <v xml:space="preserve">23.1 </v>
      </c>
      <c r="B247" t="str">
        <f>IF(ISNUMBER(FIND("[PASSED]",C247,1)),"PASSED","FAILED")</f>
        <v>PASSED</v>
      </c>
      <c r="C247" s="16" t="s">
        <v>263</v>
      </c>
      <c r="D247" s="6"/>
      <c r="G247" s="13">
        <v>23</v>
      </c>
      <c r="H247" s="13">
        <v>1</v>
      </c>
    </row>
    <row r="248" spans="1:8" ht="15" hidden="1" customHeight="1" x14ac:dyDescent="0.35">
      <c r="A248" s="6" t="str">
        <f>MID(C248,2,FIND(")",C248,1)-5)</f>
        <v xml:space="preserve">24.1 </v>
      </c>
      <c r="B248" t="str">
        <f>IF(ISNUMBER(FIND("[PASSED]",C248,1)),"PASSED","FAILED")</f>
        <v>PASSED</v>
      </c>
      <c r="C248" s="16" t="s">
        <v>69</v>
      </c>
      <c r="D248" s="6"/>
      <c r="G248" s="13">
        <v>24</v>
      </c>
      <c r="H248" s="13">
        <v>1</v>
      </c>
    </row>
    <row r="249" spans="1:8" ht="15" hidden="1" customHeight="1" x14ac:dyDescent="0.35">
      <c r="A249" s="6" t="str">
        <f>MID(C249,2,FIND(")",C249,1)-5)</f>
        <v xml:space="preserve">24.2 </v>
      </c>
      <c r="B249" t="str">
        <f>IF(ISNUMBER(FIND("[PASSED]",C249,1)),"PASSED","FAILED")</f>
        <v>PASSED</v>
      </c>
      <c r="C249" s="16" t="s">
        <v>31</v>
      </c>
      <c r="D249" s="6"/>
      <c r="G249" s="13">
        <v>24</v>
      </c>
      <c r="H249" s="13">
        <v>2</v>
      </c>
    </row>
    <row r="250" spans="1:8" ht="15" hidden="1" customHeight="1" x14ac:dyDescent="0.35">
      <c r="A250" s="6" t="str">
        <f>MID(C250,2,FIND(")",C250,1)-5)</f>
        <v xml:space="preserve">24.3 </v>
      </c>
      <c r="B250" t="str">
        <f>IF(ISNUMBER(FIND("[PASSED]",C250,1)),"PASSED","FAILED")</f>
        <v>PASSED</v>
      </c>
      <c r="C250" s="16" t="s">
        <v>74</v>
      </c>
      <c r="D250" s="6"/>
      <c r="G250" s="13">
        <v>24</v>
      </c>
      <c r="H250" s="13">
        <v>3</v>
      </c>
    </row>
    <row r="251" spans="1:8" ht="15" hidden="1" customHeight="1" x14ac:dyDescent="0.35">
      <c r="A251" s="6" t="str">
        <f>MID(C251,2,FIND(")",C251,1)-5)</f>
        <v xml:space="preserve">24.4 </v>
      </c>
      <c r="B251" t="str">
        <f>IF(ISNUMBER(FIND("[PASSED]",C251,1)),"PASSED","FAILED")</f>
        <v>PASSED</v>
      </c>
      <c r="C251" s="16" t="s">
        <v>240</v>
      </c>
      <c r="D251" s="6"/>
      <c r="G251" s="13">
        <v>24</v>
      </c>
      <c r="H251" s="13">
        <v>4</v>
      </c>
    </row>
    <row r="252" spans="1:8" ht="15" hidden="1" customHeight="1" x14ac:dyDescent="0.35">
      <c r="A252" s="6" t="str">
        <f>MID(C252,2,FIND(")",C252,1)-5)</f>
        <v xml:space="preserve">26.1 </v>
      </c>
      <c r="B252" t="str">
        <f>IF(ISNUMBER(FIND("[PASSED]",C252,1)),"PASSED","FAILED")</f>
        <v>PASSED</v>
      </c>
      <c r="C252" s="16" t="s">
        <v>39</v>
      </c>
      <c r="D252" s="6"/>
      <c r="G252" s="13">
        <v>26</v>
      </c>
      <c r="H252" s="13">
        <v>1</v>
      </c>
    </row>
    <row r="253" spans="1:8" ht="15" customHeight="1" x14ac:dyDescent="0.35">
      <c r="A253" s="6" t="str">
        <f>MID(C253,2,FIND(")",C253,1)-5)</f>
        <v xml:space="preserve">26.2 </v>
      </c>
      <c r="B253" t="str">
        <f>IF(ISNUMBER(FIND("[PASSED]",C253,1)),"PASSED","FAILED")</f>
        <v>FAILED</v>
      </c>
      <c r="C253" s="16" t="s">
        <v>460</v>
      </c>
      <c r="D253" s="13" t="s">
        <v>483</v>
      </c>
      <c r="E253" s="6" t="s">
        <v>333</v>
      </c>
      <c r="F253" s="6" t="s">
        <v>479</v>
      </c>
      <c r="G253" s="13">
        <v>26</v>
      </c>
      <c r="H253" s="13">
        <v>2</v>
      </c>
    </row>
    <row r="254" spans="1:8" ht="15" customHeight="1" x14ac:dyDescent="0.35">
      <c r="A254" s="6" t="str">
        <f>MID(C254,2,FIND(")",C254,1)-5)</f>
        <v xml:space="preserve">26.3 </v>
      </c>
      <c r="B254" t="str">
        <f>IF(ISNUMBER(FIND("[PASSED]",C254,1)),"PASSED","FAILED")</f>
        <v>FAILED</v>
      </c>
      <c r="C254" s="16" t="s">
        <v>368</v>
      </c>
      <c r="D254" s="13" t="s">
        <v>484</v>
      </c>
      <c r="E254" s="6" t="s">
        <v>333</v>
      </c>
      <c r="F254" s="6" t="s">
        <v>479</v>
      </c>
      <c r="G254" s="13">
        <v>26</v>
      </c>
      <c r="H254" s="13">
        <v>3</v>
      </c>
    </row>
    <row r="255" spans="1:8" ht="15" hidden="1" customHeight="1" x14ac:dyDescent="0.35">
      <c r="A255" s="6" t="str">
        <f>MID(C255,2,FIND(")",C255,1)-5)</f>
        <v xml:space="preserve">26.4 </v>
      </c>
      <c r="B255" t="str">
        <f>IF(ISNUMBER(FIND("[PASSED]",C255,1)),"PASSED","FAILED")</f>
        <v>PASSED</v>
      </c>
      <c r="C255" s="16" t="s">
        <v>352</v>
      </c>
      <c r="G255" s="13">
        <v>26</v>
      </c>
      <c r="H255" s="13">
        <v>4</v>
      </c>
    </row>
    <row r="256" spans="1:8" ht="15" hidden="1" customHeight="1" x14ac:dyDescent="0.35">
      <c r="A256" s="6" t="str">
        <f>MID(C256,2,FIND(")",C256,1)-5)</f>
        <v xml:space="preserve">26.5 </v>
      </c>
      <c r="B256" t="str">
        <f>IF(ISNUMBER(FIND("[PASSED]",C256,1)),"PASSED","FAILED")</f>
        <v>PASSED</v>
      </c>
      <c r="C256" s="16" t="s">
        <v>363</v>
      </c>
      <c r="D256" s="6"/>
      <c r="G256" s="13">
        <v>26</v>
      </c>
      <c r="H256" s="13">
        <v>5</v>
      </c>
    </row>
    <row r="257" spans="1:8" ht="15" hidden="1" customHeight="1" x14ac:dyDescent="0.35">
      <c r="A257" s="6" t="str">
        <f>MID(C257,2,FIND(")",C257,1)-5)</f>
        <v xml:space="preserve">26.6 </v>
      </c>
      <c r="B257" t="str">
        <f>IF(ISNUMBER(FIND("[PASSED]",C257,1)),"PASSED","FAILED")</f>
        <v>PASSED</v>
      </c>
      <c r="C257" s="16" t="s">
        <v>417</v>
      </c>
      <c r="D257" s="6"/>
      <c r="G257" s="13">
        <v>26</v>
      </c>
      <c r="H257" s="13">
        <v>6</v>
      </c>
    </row>
    <row r="258" spans="1:8" ht="15" hidden="1" customHeight="1" x14ac:dyDescent="0.35">
      <c r="A258" s="6" t="str">
        <f>MID(C258,2,FIND(")",C258,1)-5)</f>
        <v xml:space="preserve">26.7 </v>
      </c>
      <c r="B258" t="str">
        <f>IF(ISNUMBER(FIND("[PASSED]",C258,1)),"PASSED","FAILED")</f>
        <v>PASSED</v>
      </c>
      <c r="C258" s="16" t="s">
        <v>405</v>
      </c>
      <c r="D258" s="6"/>
      <c r="G258" s="13">
        <v>26</v>
      </c>
      <c r="H258" s="13">
        <v>7</v>
      </c>
    </row>
    <row r="259" spans="1:8" ht="15" hidden="1" customHeight="1" x14ac:dyDescent="0.35">
      <c r="A259" s="6" t="str">
        <f>MID(C259,2,FIND(")",C259,1)-5)</f>
        <v xml:space="preserve">26.8 </v>
      </c>
      <c r="B259" t="str">
        <f>IF(ISNUMBER(FIND("[PASSED]",C259,1)),"PASSED","FAILED")</f>
        <v>PASSED</v>
      </c>
      <c r="C259" s="16" t="s">
        <v>366</v>
      </c>
      <c r="D259" s="6"/>
      <c r="G259" s="13">
        <v>26</v>
      </c>
      <c r="H259" s="13">
        <v>8</v>
      </c>
    </row>
    <row r="260" spans="1:8" ht="15" hidden="1" customHeight="1" x14ac:dyDescent="0.35">
      <c r="A260" s="6" t="str">
        <f>MID(C260,2,FIND(")",C260,1)-5)</f>
        <v xml:space="preserve">26.9 </v>
      </c>
      <c r="B260" t="str">
        <f>IF(ISNUMBER(FIND("[PASSED]",C260,1)),"PASSED","FAILED")</f>
        <v>PASSED</v>
      </c>
      <c r="C260" s="16" t="s">
        <v>35</v>
      </c>
      <c r="D260" s="6"/>
      <c r="G260" s="13">
        <v>26</v>
      </c>
      <c r="H260" s="13">
        <v>9</v>
      </c>
    </row>
    <row r="261" spans="1:8" ht="15" hidden="1" customHeight="1" x14ac:dyDescent="0.35">
      <c r="A261" s="6" t="str">
        <f>MID(C261,2,FIND(")",C261,1)-5)</f>
        <v xml:space="preserve">28.1 </v>
      </c>
      <c r="B261" t="str">
        <f>IF(ISNUMBER(FIND("[PASSED]",C261,1)),"PASSED","FAILED")</f>
        <v>PASSED</v>
      </c>
      <c r="C261" s="16" t="s">
        <v>341</v>
      </c>
      <c r="D261" s="6"/>
      <c r="G261" s="13">
        <v>28</v>
      </c>
      <c r="H261" s="13">
        <v>1</v>
      </c>
    </row>
    <row r="262" spans="1:8" ht="15" hidden="1" customHeight="1" x14ac:dyDescent="0.35">
      <c r="A262" s="6" t="str">
        <f>MID(C262,2,FIND(")",C262,1)-5)</f>
        <v xml:space="preserve">34.1 </v>
      </c>
      <c r="B262" t="str">
        <f>IF(ISNUMBER(FIND("[PASSED]",C262,1)),"PASSED","FAILED")</f>
        <v>PASSED</v>
      </c>
      <c r="C262" s="16" t="s">
        <v>83</v>
      </c>
      <c r="D262" s="6"/>
      <c r="G262" s="13">
        <v>34</v>
      </c>
      <c r="H262" s="13">
        <v>1</v>
      </c>
    </row>
    <row r="263" spans="1:8" ht="15" hidden="1" customHeight="1" x14ac:dyDescent="0.35">
      <c r="A263" s="6" t="str">
        <f>MID(C263,2,FIND(")",C263,1)-5)</f>
        <v xml:space="preserve">34.2 </v>
      </c>
      <c r="B263" t="str">
        <f>IF(ISNUMBER(FIND("[PASSED]",C263,1)),"PASSED","FAILED")</f>
        <v>PASSED</v>
      </c>
      <c r="C263" s="16" t="s">
        <v>500</v>
      </c>
      <c r="D263" s="6"/>
      <c r="G263" s="13">
        <v>34</v>
      </c>
      <c r="H263" s="13">
        <v>2</v>
      </c>
    </row>
    <row r="264" spans="1:8" ht="15" hidden="1" customHeight="1" x14ac:dyDescent="0.35">
      <c r="A264" s="6" t="str">
        <f>MID(C264,2,FIND(")",C264,1)-5)</f>
        <v xml:space="preserve">34.3 </v>
      </c>
      <c r="B264" t="str">
        <f>IF(ISNUMBER(FIND("[PASSED]",C264,1)),"PASSED","FAILED")</f>
        <v>PASSED</v>
      </c>
      <c r="C264" s="16" t="s">
        <v>429</v>
      </c>
      <c r="D264" s="6"/>
      <c r="G264" s="13">
        <v>34</v>
      </c>
      <c r="H264" s="13">
        <v>3</v>
      </c>
    </row>
    <row r="265" spans="1:8" ht="15" hidden="1" customHeight="1" x14ac:dyDescent="0.35">
      <c r="A265" s="6" t="str">
        <f>MID(C265,2,FIND(")",C265,1)-5)</f>
        <v xml:space="preserve">34.4 </v>
      </c>
      <c r="B265" t="str">
        <f>IF(ISNUMBER(FIND("[PASSED]",C265,1)),"PASSED","FAILED")</f>
        <v>PASSED</v>
      </c>
      <c r="C265" s="16" t="s">
        <v>234</v>
      </c>
      <c r="D265" s="6"/>
      <c r="G265" s="13">
        <v>34</v>
      </c>
      <c r="H265" s="13">
        <v>4</v>
      </c>
    </row>
    <row r="266" spans="1:8" ht="15" hidden="1" customHeight="1" x14ac:dyDescent="0.35">
      <c r="A266" s="6" t="str">
        <f>MID(C266,2,FIND(")",C266,1)-5)</f>
        <v xml:space="preserve">34.5 </v>
      </c>
      <c r="B266" t="str">
        <f>IF(ISNUMBER(FIND("[PASSED]",C266,1)),"PASSED","FAILED")</f>
        <v>PASSED</v>
      </c>
      <c r="C266" s="16" t="s">
        <v>280</v>
      </c>
      <c r="D266" s="6"/>
      <c r="G266" s="13">
        <v>34</v>
      </c>
      <c r="H266" s="13">
        <v>5</v>
      </c>
    </row>
    <row r="267" spans="1:8" ht="15" hidden="1" customHeight="1" x14ac:dyDescent="0.35">
      <c r="A267" s="6" t="str">
        <f>MID(C267,2,FIND(")",C267,1)-5)</f>
        <v xml:space="preserve">38.1 </v>
      </c>
      <c r="B267" t="str">
        <f>IF(ISNUMBER(FIND("[PASSED]",C267,1)),"PASSED","FAILED")</f>
        <v>PASSED</v>
      </c>
      <c r="C267" s="16" t="s">
        <v>89</v>
      </c>
      <c r="D267" s="6"/>
      <c r="G267" s="13">
        <v>38</v>
      </c>
      <c r="H267" s="13">
        <v>1</v>
      </c>
    </row>
    <row r="268" spans="1:8" ht="15" hidden="1" customHeight="1" x14ac:dyDescent="0.35">
      <c r="A268" s="6" t="str">
        <f>MID(C268,2,FIND(")",C268,1)-5)</f>
        <v xml:space="preserve">38.2 </v>
      </c>
      <c r="B268" t="str">
        <f>IF(ISNUMBER(FIND("[PASSED]",C268,1)),"PASSED","FAILED")</f>
        <v>PASSED</v>
      </c>
      <c r="C268" s="16" t="s">
        <v>73</v>
      </c>
      <c r="D268" s="6"/>
      <c r="G268" s="13">
        <v>38</v>
      </c>
      <c r="H268" s="13">
        <v>2</v>
      </c>
    </row>
    <row r="269" spans="1:8" ht="15" hidden="1" customHeight="1" x14ac:dyDescent="0.35">
      <c r="A269" s="6" t="str">
        <f>MID(C269,2,FIND(")",C269,1)-5)</f>
        <v xml:space="preserve">38.3 </v>
      </c>
      <c r="B269" t="str">
        <f>IF(ISNUMBER(FIND("[PASSED]",C269,1)),"PASSED","FAILED")</f>
        <v>PASSED</v>
      </c>
      <c r="C269" s="16" t="s">
        <v>205</v>
      </c>
      <c r="D269" s="6"/>
      <c r="G269" s="13">
        <v>38</v>
      </c>
      <c r="H269" s="13">
        <v>3</v>
      </c>
    </row>
    <row r="270" spans="1:8" ht="15" hidden="1" customHeight="1" x14ac:dyDescent="0.35">
      <c r="A270" s="6" t="str">
        <f>MID(C270,2,FIND(")",C270,1)-5)</f>
        <v xml:space="preserve">38.4 </v>
      </c>
      <c r="B270" t="str">
        <f>IF(ISNUMBER(FIND("[PASSED]",C270,1)),"PASSED","FAILED")</f>
        <v>PASSED</v>
      </c>
      <c r="C270" s="16" t="s">
        <v>264</v>
      </c>
      <c r="D270" s="6"/>
      <c r="G270" s="13">
        <v>38</v>
      </c>
      <c r="H270" s="13">
        <v>4</v>
      </c>
    </row>
    <row r="271" spans="1:8" ht="15" hidden="1" customHeight="1" x14ac:dyDescent="0.35">
      <c r="A271" s="6" t="str">
        <f>MID(C271,2,FIND(")",C271,1)-5)</f>
        <v xml:space="preserve">38.5 </v>
      </c>
      <c r="B271" t="str">
        <f>IF(ISNUMBER(FIND("[PASSED]",C271,1)),"PASSED","FAILED")</f>
        <v>PASSED</v>
      </c>
      <c r="C271" s="16" t="s">
        <v>77</v>
      </c>
      <c r="D271" s="6"/>
      <c r="G271" s="13">
        <v>38</v>
      </c>
      <c r="H271" s="13">
        <v>5</v>
      </c>
    </row>
    <row r="272" spans="1:8" ht="15" hidden="1" customHeight="1" x14ac:dyDescent="0.35">
      <c r="A272" s="6" t="str">
        <f>MID(C272,2,FIND(")",C272,1)-5)</f>
        <v xml:space="preserve">38.6 </v>
      </c>
      <c r="B272" t="str">
        <f>IF(ISNUMBER(FIND("[PASSED]",C272,1)),"PASSED","FAILED")</f>
        <v>PASSED</v>
      </c>
      <c r="C272" s="16" t="s">
        <v>87</v>
      </c>
      <c r="D272" s="6"/>
      <c r="G272" s="13">
        <v>38</v>
      </c>
      <c r="H272" s="13">
        <v>6</v>
      </c>
    </row>
    <row r="273" spans="1:8" ht="15" hidden="1" customHeight="1" x14ac:dyDescent="0.35">
      <c r="A273" s="6" t="str">
        <f>MID(C273,2,FIND(")",C273,1)-5)</f>
        <v xml:space="preserve">38.7 </v>
      </c>
      <c r="B273" t="str">
        <f>IF(ISNUMBER(FIND("[PASSED]",C273,1)),"PASSED","FAILED")</f>
        <v>PASSED</v>
      </c>
      <c r="C273" s="16" t="s">
        <v>70</v>
      </c>
      <c r="D273" s="6"/>
      <c r="G273" s="13">
        <v>38</v>
      </c>
      <c r="H273" s="13">
        <v>7</v>
      </c>
    </row>
    <row r="274" spans="1:8" ht="15" hidden="1" customHeight="1" x14ac:dyDescent="0.35">
      <c r="A274" s="6" t="str">
        <f>MID(C274,2,FIND(")",C274,1)-5)</f>
        <v xml:space="preserve">38.8 </v>
      </c>
      <c r="B274" t="str">
        <f>IF(ISNUMBER(FIND("[PASSED]",C274,1)),"PASSED","FAILED")</f>
        <v>PASSED</v>
      </c>
      <c r="C274" s="16" t="s">
        <v>219</v>
      </c>
      <c r="D274" s="6"/>
      <c r="G274" s="13">
        <v>38</v>
      </c>
      <c r="H274" s="13">
        <v>8</v>
      </c>
    </row>
    <row r="275" spans="1:8" ht="15" hidden="1" customHeight="1" x14ac:dyDescent="0.35">
      <c r="A275" s="6" t="str">
        <f>MID(C275,2,FIND(")",C275,1)-5)</f>
        <v xml:space="preserve">38.9 </v>
      </c>
      <c r="B275" t="str">
        <f>IF(ISNUMBER(FIND("[PASSED]",C275,1)),"PASSED","FAILED")</f>
        <v>PASSED</v>
      </c>
      <c r="C275" s="16" t="s">
        <v>63</v>
      </c>
      <c r="G275" s="13">
        <v>38</v>
      </c>
      <c r="H275" s="13">
        <v>9</v>
      </c>
    </row>
    <row r="276" spans="1:8" ht="15" hidden="1" customHeight="1" x14ac:dyDescent="0.35">
      <c r="A276" s="6" t="str">
        <f>MID(C276,2,FIND(")",C276,1)-5)</f>
        <v xml:space="preserve">38.10 </v>
      </c>
      <c r="B276" t="str">
        <f>IF(ISNUMBER(FIND("[PASSED]",C276,1)),"PASSED","FAILED")</f>
        <v>PASSED</v>
      </c>
      <c r="C276" s="16" t="s">
        <v>260</v>
      </c>
      <c r="D276" s="6"/>
      <c r="G276" s="13">
        <v>38</v>
      </c>
      <c r="H276" s="13">
        <v>10</v>
      </c>
    </row>
    <row r="277" spans="1:8" ht="15" hidden="1" customHeight="1" x14ac:dyDescent="0.35">
      <c r="A277" s="6" t="str">
        <f>MID(C277,2,FIND(")",C277,1)-5)</f>
        <v xml:space="preserve">38.11 </v>
      </c>
      <c r="B277" t="str">
        <f>IF(ISNUMBER(FIND("[PASSED]",C277,1)),"PASSED","FAILED")</f>
        <v>PASSED</v>
      </c>
      <c r="C277" s="16" t="s">
        <v>52</v>
      </c>
      <c r="D277" s="6"/>
      <c r="G277" s="13">
        <v>38</v>
      </c>
      <c r="H277" s="13">
        <v>11</v>
      </c>
    </row>
    <row r="278" spans="1:8" ht="15" hidden="1" customHeight="1" x14ac:dyDescent="0.35">
      <c r="A278" s="6" t="str">
        <f>MID(C278,2,FIND(")",C278,1)-5)</f>
        <v xml:space="preserve">38.12 </v>
      </c>
      <c r="B278" t="str">
        <f>IF(ISNUMBER(FIND("[PASSED]",C278,1)),"PASSED","FAILED")</f>
        <v>PASSED</v>
      </c>
      <c r="C278" s="16" t="s">
        <v>245</v>
      </c>
      <c r="D278" s="6"/>
      <c r="G278" s="13">
        <v>38</v>
      </c>
      <c r="H278" s="13">
        <v>12</v>
      </c>
    </row>
    <row r="279" spans="1:8" ht="15" hidden="1" customHeight="1" x14ac:dyDescent="0.35">
      <c r="A279" s="6" t="str">
        <f>MID(C279,2,FIND(")",C279,1)-5)</f>
        <v xml:space="preserve">38.13 </v>
      </c>
      <c r="B279" t="str">
        <f>IF(ISNUMBER(FIND("[PASSED]",C279,1)),"PASSED","FAILED")</f>
        <v>PASSED</v>
      </c>
      <c r="C279" s="16" t="s">
        <v>218</v>
      </c>
      <c r="D279" s="6"/>
      <c r="G279" s="13">
        <v>38</v>
      </c>
      <c r="H279" s="13">
        <v>13</v>
      </c>
    </row>
    <row r="280" spans="1:8" ht="15" hidden="1" customHeight="1" x14ac:dyDescent="0.35">
      <c r="A280" s="6" t="str">
        <f>MID(C280,2,FIND(")",C280,1)-5)</f>
        <v xml:space="preserve">38.14 </v>
      </c>
      <c r="B280" t="str">
        <f>IF(ISNUMBER(FIND("[PASSED]",C280,1)),"PASSED","FAILED")</f>
        <v>PASSED</v>
      </c>
      <c r="C280" s="16" t="s">
        <v>286</v>
      </c>
      <c r="D280" s="6"/>
      <c r="G280" s="13">
        <v>38</v>
      </c>
      <c r="H280" s="13">
        <v>14</v>
      </c>
    </row>
    <row r="281" spans="1:8" ht="15" hidden="1" customHeight="1" x14ac:dyDescent="0.35">
      <c r="A281" s="6" t="str">
        <f>MID(C281,2,FIND(")",C281,1)-5)</f>
        <v xml:space="preserve">38.15 </v>
      </c>
      <c r="B281" t="str">
        <f>IF(ISNUMBER(FIND("[PASSED]",C281,1)),"PASSED","FAILED")</f>
        <v>PASSED</v>
      </c>
      <c r="C281" s="16" t="s">
        <v>302</v>
      </c>
      <c r="D281" s="6"/>
      <c r="G281" s="13">
        <v>38</v>
      </c>
      <c r="H281" s="13">
        <v>15</v>
      </c>
    </row>
    <row r="282" spans="1:8" ht="15" hidden="1" customHeight="1" x14ac:dyDescent="0.35">
      <c r="A282" s="6" t="str">
        <f>MID(C282,2,FIND(")",C282,1)-5)</f>
        <v xml:space="preserve">38.16 </v>
      </c>
      <c r="B282" t="str">
        <f>IF(ISNUMBER(FIND("[PASSED]",C282,1)),"PASSED","FAILED")</f>
        <v>PASSED</v>
      </c>
      <c r="C282" s="16" t="s">
        <v>140</v>
      </c>
      <c r="D282" s="6"/>
      <c r="G282" s="13">
        <v>38</v>
      </c>
      <c r="H282" s="13">
        <v>16</v>
      </c>
    </row>
    <row r="283" spans="1:8" ht="15" hidden="1" customHeight="1" x14ac:dyDescent="0.35">
      <c r="A283" s="6" t="str">
        <f>MID(C283,2,FIND(")",C283,1)-5)</f>
        <v xml:space="preserve">38.17 </v>
      </c>
      <c r="B283" t="str">
        <f>IF(ISNUMBER(FIND("[PASSED]",C283,1)),"PASSED","FAILED")</f>
        <v>PASSED</v>
      </c>
      <c r="C283" s="16" t="s">
        <v>11</v>
      </c>
      <c r="D283" s="6"/>
      <c r="G283" s="13">
        <v>38</v>
      </c>
      <c r="H283" s="13">
        <v>17</v>
      </c>
    </row>
    <row r="284" spans="1:8" ht="15" hidden="1" customHeight="1" x14ac:dyDescent="0.35">
      <c r="A284" s="6" t="str">
        <f>MID(C284,2,FIND(")",C284,1)-5)</f>
        <v xml:space="preserve">38.18 </v>
      </c>
      <c r="B284" t="str">
        <f>IF(ISNUMBER(FIND("[PASSED]",C284,1)),"PASSED","FAILED")</f>
        <v>PASSED</v>
      </c>
      <c r="C284" s="16" t="s">
        <v>109</v>
      </c>
      <c r="D284" s="6"/>
      <c r="G284" s="13">
        <v>38</v>
      </c>
      <c r="H284" s="13">
        <v>18</v>
      </c>
    </row>
    <row r="285" spans="1:8" ht="15" hidden="1" customHeight="1" x14ac:dyDescent="0.35">
      <c r="A285" s="6" t="str">
        <f>MID(C285,2,FIND(")",C285,1)-5)</f>
        <v xml:space="preserve">38.19 </v>
      </c>
      <c r="B285" t="str">
        <f>IF(ISNUMBER(FIND("[PASSED]",C285,1)),"PASSED","FAILED")</f>
        <v>PASSED</v>
      </c>
      <c r="C285" s="16" t="s">
        <v>256</v>
      </c>
      <c r="D285" s="6"/>
      <c r="G285" s="13">
        <v>38</v>
      </c>
      <c r="H285" s="13">
        <v>19</v>
      </c>
    </row>
    <row r="286" spans="1:8" ht="15" hidden="1" customHeight="1" x14ac:dyDescent="0.35">
      <c r="A286" s="6" t="str">
        <f>MID(C286,2,FIND(")",C286,1)-5)</f>
        <v xml:space="preserve">38.20 </v>
      </c>
      <c r="B286" t="str">
        <f>IF(ISNUMBER(FIND("[PASSED]",C286,1)),"PASSED","FAILED")</f>
        <v>PASSED</v>
      </c>
      <c r="C286" s="16" t="s">
        <v>130</v>
      </c>
      <c r="D286" s="6"/>
      <c r="G286" s="13">
        <v>38</v>
      </c>
      <c r="H286" s="13">
        <v>20</v>
      </c>
    </row>
    <row r="287" spans="1:8" ht="15" hidden="1" customHeight="1" x14ac:dyDescent="0.35">
      <c r="A287" s="6" t="str">
        <f>MID(C287,2,FIND(")",C287,1)-5)</f>
        <v xml:space="preserve">38.21 </v>
      </c>
      <c r="B287" t="str">
        <f>IF(ISNUMBER(FIND("[PASSED]",C287,1)),"PASSED","FAILED")</f>
        <v>PASSED</v>
      </c>
      <c r="C287" s="16" t="s">
        <v>285</v>
      </c>
      <c r="D287" s="6"/>
      <c r="G287" s="13">
        <v>38</v>
      </c>
      <c r="H287" s="13">
        <v>21</v>
      </c>
    </row>
    <row r="288" spans="1:8" ht="15" hidden="1" customHeight="1" x14ac:dyDescent="0.35">
      <c r="A288" s="6" t="str">
        <f>MID(C288,2,FIND(")",C288,1)-5)</f>
        <v xml:space="preserve">38.22 </v>
      </c>
      <c r="B288" t="str">
        <f>IF(ISNUMBER(FIND("[PASSED]",C288,1)),"PASSED","FAILED")</f>
        <v>PASSED</v>
      </c>
      <c r="C288" s="16" t="s">
        <v>84</v>
      </c>
      <c r="D288" s="6"/>
      <c r="G288" s="13">
        <v>38</v>
      </c>
      <c r="H288" s="13">
        <v>22</v>
      </c>
    </row>
    <row r="289" spans="1:8" ht="15" hidden="1" customHeight="1" x14ac:dyDescent="0.35">
      <c r="A289" s="6" t="str">
        <f>MID(C289,2,FIND(")",C289,1)-5)</f>
        <v xml:space="preserve">38.23 </v>
      </c>
      <c r="B289" t="str">
        <f>IF(ISNUMBER(FIND("[PASSED]",C289,1)),"PASSED","FAILED")</f>
        <v>PASSED</v>
      </c>
      <c r="C289" s="16" t="s">
        <v>150</v>
      </c>
      <c r="D289" s="6"/>
      <c r="G289" s="13">
        <v>38</v>
      </c>
      <c r="H289" s="13">
        <v>23</v>
      </c>
    </row>
    <row r="290" spans="1:8" ht="15" hidden="1" customHeight="1" x14ac:dyDescent="0.35">
      <c r="A290" s="6" t="str">
        <f>MID(C290,2,FIND(")",C290,1)-5)</f>
        <v xml:space="preserve">46.1 </v>
      </c>
      <c r="B290" t="str">
        <f>IF(ISNUMBER(FIND("[PASSED]",C290,1)),"PASSED","FAILED")</f>
        <v>PASSED</v>
      </c>
      <c r="C290" s="16" t="s">
        <v>203</v>
      </c>
      <c r="D290" s="6"/>
      <c r="G290" s="13">
        <v>46</v>
      </c>
      <c r="H290" s="13">
        <v>1</v>
      </c>
    </row>
    <row r="291" spans="1:8" ht="15" hidden="1" customHeight="1" x14ac:dyDescent="0.35">
      <c r="A291" s="6" t="str">
        <f>MID(C291,2,FIND(")",C291,1)-5)</f>
        <v xml:space="preserve">47.1 </v>
      </c>
      <c r="B291" t="str">
        <f>IF(ISNUMBER(FIND("[PASSED]",C291,1)),"PASSED","FAILED")</f>
        <v>PASSED</v>
      </c>
      <c r="C291" s="16" t="s">
        <v>435</v>
      </c>
      <c r="D291" s="6"/>
      <c r="G291" s="13">
        <v>47</v>
      </c>
      <c r="H291" s="13">
        <v>1</v>
      </c>
    </row>
    <row r="292" spans="1:8" ht="15" hidden="1" customHeight="1" x14ac:dyDescent="0.35">
      <c r="A292" s="6" t="str">
        <f>MID(C292,2,FIND(")",C292,1)-5)</f>
        <v xml:space="preserve">49.1 </v>
      </c>
      <c r="B292" t="str">
        <f>IF(ISNUMBER(FIND("[PASSED]",C292,1)),"PASSED","FAILED")</f>
        <v>PASSED</v>
      </c>
      <c r="C292" s="16" t="s">
        <v>200</v>
      </c>
      <c r="D292" s="6"/>
      <c r="G292" s="13">
        <v>49</v>
      </c>
      <c r="H292" s="13">
        <v>1</v>
      </c>
    </row>
    <row r="293" spans="1:8" ht="15" hidden="1" customHeight="1" x14ac:dyDescent="0.35">
      <c r="A293" s="6" t="str">
        <f>MID(C293,2,FIND(")",C293,1)-5)</f>
        <v xml:space="preserve">49.2 </v>
      </c>
      <c r="B293" t="str">
        <f>IF(ISNUMBER(FIND("[PASSED]",C293,1)),"PASSED","FAILED")</f>
        <v>PASSED</v>
      </c>
      <c r="C293" s="16" t="s">
        <v>10</v>
      </c>
      <c r="D293" s="6"/>
      <c r="G293" s="13">
        <v>49</v>
      </c>
      <c r="H293" s="13">
        <v>2</v>
      </c>
    </row>
    <row r="294" spans="1:8" ht="15" hidden="1" customHeight="1" x14ac:dyDescent="0.35">
      <c r="A294" s="6" t="str">
        <f>MID(C294,2,FIND(")",C294,1)-5)</f>
        <v xml:space="preserve">49.3 </v>
      </c>
      <c r="B294" t="str">
        <f>IF(ISNUMBER(FIND("[PASSED]",C294,1)),"PASSED","FAILED")</f>
        <v>PASSED</v>
      </c>
      <c r="C294" s="16" t="s">
        <v>22</v>
      </c>
      <c r="D294" s="6"/>
      <c r="G294" s="13">
        <v>49</v>
      </c>
      <c r="H294" s="13">
        <v>3</v>
      </c>
    </row>
    <row r="295" spans="1:8" ht="15" hidden="1" customHeight="1" x14ac:dyDescent="0.35">
      <c r="A295" s="6" t="str">
        <f>MID(C295,2,FIND(")",C295,1)-5)</f>
        <v xml:space="preserve">49.4 </v>
      </c>
      <c r="B295" t="str">
        <f>IF(ISNUMBER(FIND("[PASSED]",C295,1)),"PASSED","FAILED")</f>
        <v>PASSED</v>
      </c>
      <c r="C295" s="16" t="s">
        <v>202</v>
      </c>
      <c r="D295" s="6"/>
      <c r="G295" s="13">
        <v>49</v>
      </c>
      <c r="H295" s="13">
        <v>4</v>
      </c>
    </row>
    <row r="296" spans="1:8" ht="15" hidden="1" customHeight="1" x14ac:dyDescent="0.35">
      <c r="A296" s="6" t="str">
        <f>MID(C296,2,FIND(")",C296,1)-5)</f>
        <v xml:space="preserve">49.5 </v>
      </c>
      <c r="B296" t="str">
        <f>IF(ISNUMBER(FIND("[PASSED]",C296,1)),"PASSED","FAILED")</f>
        <v>PASSED</v>
      </c>
      <c r="C296" s="16" t="s">
        <v>370</v>
      </c>
      <c r="D296" s="6"/>
      <c r="G296" s="13">
        <v>49</v>
      </c>
      <c r="H296" s="13">
        <v>5</v>
      </c>
    </row>
    <row r="297" spans="1:8" ht="15" customHeight="1" x14ac:dyDescent="0.35">
      <c r="A297" s="6" t="str">
        <f>MID(C297,2,FIND(")",C297,1)-5)</f>
        <v xml:space="preserve">49.6 </v>
      </c>
      <c r="B297" t="str">
        <f>IF(ISNUMBER(FIND("[PASSED]",C297,1)),"PASSED","FAILED")</f>
        <v>FAILED</v>
      </c>
      <c r="C297" s="16" t="s">
        <v>215</v>
      </c>
      <c r="D297" s="13" t="s">
        <v>334</v>
      </c>
      <c r="E297" s="6" t="s">
        <v>333</v>
      </c>
      <c r="F297" s="6" t="s">
        <v>479</v>
      </c>
      <c r="G297" s="13">
        <v>49</v>
      </c>
      <c r="H297" s="13">
        <v>6</v>
      </c>
    </row>
    <row r="298" spans="1:8" ht="15" customHeight="1" x14ac:dyDescent="0.35">
      <c r="A298" s="6" t="str">
        <f>MID(C298,2,FIND(")",C298,1)-5)</f>
        <v xml:space="preserve">49.7 </v>
      </c>
      <c r="B298" t="str">
        <f>IF(ISNUMBER(FIND("[PASSED]",C298,1)),"PASSED","FAILED")</f>
        <v>FAILED</v>
      </c>
      <c r="C298" s="16" t="s">
        <v>185</v>
      </c>
      <c r="D298" s="13" t="s">
        <v>485</v>
      </c>
      <c r="E298" s="6" t="s">
        <v>333</v>
      </c>
      <c r="F298" s="6" t="s">
        <v>479</v>
      </c>
      <c r="G298" s="13">
        <v>49</v>
      </c>
      <c r="H298" s="13">
        <v>7</v>
      </c>
    </row>
    <row r="299" spans="1:8" ht="15" hidden="1" customHeight="1" x14ac:dyDescent="0.35">
      <c r="A299" s="6" t="str">
        <f>MID(C299,2,FIND(")",C299,1)-5)</f>
        <v xml:space="preserve">49.8 </v>
      </c>
      <c r="B299" t="str">
        <f>IF(ISNUMBER(FIND("[PASSED]",C299,1)),"PASSED","FAILED")</f>
        <v>PASSED</v>
      </c>
      <c r="C299" s="16" t="s">
        <v>369</v>
      </c>
      <c r="D299" s="6"/>
      <c r="G299" s="13">
        <v>49</v>
      </c>
      <c r="H299" s="13">
        <v>8</v>
      </c>
    </row>
    <row r="300" spans="1:8" ht="15" hidden="1" customHeight="1" x14ac:dyDescent="0.35">
      <c r="A300" s="6" t="str">
        <f>MID(C300,2,FIND(")",C300,1)-5)</f>
        <v xml:space="preserve">49.9 </v>
      </c>
      <c r="B300" t="str">
        <f>IF(ISNUMBER(FIND("[PASSED]",C300,1)),"PASSED","FAILED")</f>
        <v>PASSED</v>
      </c>
      <c r="C300" s="16" t="s">
        <v>65</v>
      </c>
      <c r="D300" s="6"/>
      <c r="G300" s="13">
        <v>49</v>
      </c>
      <c r="H300" s="13">
        <v>9</v>
      </c>
    </row>
    <row r="301" spans="1:8" ht="15" hidden="1" customHeight="1" x14ac:dyDescent="0.35">
      <c r="A301" s="6" t="str">
        <f>MID(C301,2,FIND(")",C301,1)-5)</f>
        <v xml:space="preserve">49.10 </v>
      </c>
      <c r="B301" t="str">
        <f>IF(ISNUMBER(FIND("[PASSED]",C301,1)),"PASSED","FAILED")</f>
        <v>PASSED</v>
      </c>
      <c r="C301" s="16" t="s">
        <v>137</v>
      </c>
      <c r="D301" s="6"/>
      <c r="G301" s="13">
        <v>49</v>
      </c>
      <c r="H301" s="13">
        <v>10</v>
      </c>
    </row>
    <row r="302" spans="1:8" ht="15" hidden="1" customHeight="1" x14ac:dyDescent="0.35">
      <c r="A302" s="6" t="str">
        <f>MID(C302,2,FIND(")",C302,1)-5)</f>
        <v xml:space="preserve">49.11 </v>
      </c>
      <c r="B302" t="str">
        <f>IF(ISNUMBER(FIND("[PASSED]",C302,1)),"PASSED","FAILED")</f>
        <v>PASSED</v>
      </c>
      <c r="C302" s="16" t="s">
        <v>339</v>
      </c>
      <c r="D302" s="6"/>
      <c r="G302" s="13">
        <v>49</v>
      </c>
      <c r="H302" s="13">
        <v>11</v>
      </c>
    </row>
    <row r="303" spans="1:8" ht="15" hidden="1" customHeight="1" x14ac:dyDescent="0.35">
      <c r="A303" s="6" t="str">
        <f>MID(C303,2,FIND(")",C303,1)-5)</f>
        <v xml:space="preserve">49.12 </v>
      </c>
      <c r="B303" t="str">
        <f>IF(ISNUMBER(FIND("[PASSED]",C303,1)),"PASSED","FAILED")</f>
        <v>PASSED</v>
      </c>
      <c r="C303" s="16" t="s">
        <v>266</v>
      </c>
      <c r="D303" s="6"/>
      <c r="G303" s="13">
        <v>49</v>
      </c>
      <c r="H303" s="13">
        <v>12</v>
      </c>
    </row>
    <row r="304" spans="1:8" ht="15" hidden="1" customHeight="1" x14ac:dyDescent="0.35">
      <c r="A304" s="6" t="str">
        <f>MID(C304,2,FIND(")",C304,1)-5)</f>
        <v xml:space="preserve">49.13 </v>
      </c>
      <c r="B304" t="str">
        <f>IF(ISNUMBER(FIND("[PASSED]",C304,1)),"PASSED","FAILED")</f>
        <v>PASSED</v>
      </c>
      <c r="C304" s="16" t="s">
        <v>236</v>
      </c>
      <c r="D304" s="6"/>
      <c r="G304" s="13">
        <v>49</v>
      </c>
      <c r="H304" s="13">
        <v>13</v>
      </c>
    </row>
    <row r="305" spans="1:8" ht="15" hidden="1" customHeight="1" x14ac:dyDescent="0.35">
      <c r="A305" s="6" t="str">
        <f>MID(C305,2,FIND(")",C305,1)-5)</f>
        <v xml:space="preserve">49.14 </v>
      </c>
      <c r="B305" t="str">
        <f>IF(ISNUMBER(FIND("[PASSED]",C305,1)),"PASSED","FAILED")</f>
        <v>PASSED</v>
      </c>
      <c r="C305" s="16" t="s">
        <v>44</v>
      </c>
      <c r="D305" s="6"/>
      <c r="G305" s="13">
        <v>49</v>
      </c>
      <c r="H305" s="13">
        <v>14</v>
      </c>
    </row>
    <row r="306" spans="1:8" ht="15" hidden="1" customHeight="1" x14ac:dyDescent="0.35">
      <c r="A306" s="6" t="str">
        <f>MID(C306,2,FIND(")",C306,1)-5)</f>
        <v xml:space="preserve">49.15 </v>
      </c>
      <c r="B306" t="str">
        <f>IF(ISNUMBER(FIND("[PASSED]",C306,1)),"PASSED","FAILED")</f>
        <v>PASSED</v>
      </c>
      <c r="C306" s="16" t="s">
        <v>129</v>
      </c>
      <c r="D306" s="6"/>
      <c r="G306" s="13">
        <v>49</v>
      </c>
      <c r="H306" s="13">
        <v>15</v>
      </c>
    </row>
    <row r="307" spans="1:8" ht="15" hidden="1" customHeight="1" x14ac:dyDescent="0.35">
      <c r="A307" s="6" t="str">
        <f>MID(C307,2,FIND(")",C307,1)-5)</f>
        <v xml:space="preserve">49.16 </v>
      </c>
      <c r="B307" t="str">
        <f>IF(ISNUMBER(FIND("[PASSED]",C307,1)),"PASSED","FAILED")</f>
        <v>PASSED</v>
      </c>
      <c r="C307" s="16" t="s">
        <v>210</v>
      </c>
      <c r="D307" s="6"/>
      <c r="G307" s="13">
        <v>49</v>
      </c>
      <c r="H307" s="13">
        <v>16</v>
      </c>
    </row>
    <row r="308" spans="1:8" ht="15" hidden="1" customHeight="1" x14ac:dyDescent="0.35">
      <c r="A308" s="6" t="str">
        <f>MID(C308,2,FIND(")",C308,1)-5)</f>
        <v xml:space="preserve">49.17 </v>
      </c>
      <c r="B308" t="str">
        <f>IF(ISNUMBER(FIND("[PASSED]",C308,1)),"PASSED","FAILED")</f>
        <v>PASSED</v>
      </c>
      <c r="C308" s="16" t="s">
        <v>159</v>
      </c>
      <c r="D308" s="6"/>
      <c r="G308" s="13">
        <v>49</v>
      </c>
      <c r="H308" s="13">
        <v>17</v>
      </c>
    </row>
    <row r="309" spans="1:8" ht="15" hidden="1" customHeight="1" x14ac:dyDescent="0.35">
      <c r="A309" s="6" t="str">
        <f>MID(C309,2,FIND(")",C309,1)-5)</f>
        <v xml:space="preserve">49.18 </v>
      </c>
      <c r="B309" t="str">
        <f>IF(ISNUMBER(FIND("[PASSED]",C309,1)),"PASSED","FAILED")</f>
        <v>PASSED</v>
      </c>
      <c r="C309" s="16" t="s">
        <v>160</v>
      </c>
      <c r="D309" s="6"/>
      <c r="G309" s="13">
        <v>49</v>
      </c>
      <c r="H309" s="13">
        <v>18</v>
      </c>
    </row>
    <row r="310" spans="1:8" ht="15" hidden="1" customHeight="1" x14ac:dyDescent="0.35">
      <c r="A310" s="6" t="str">
        <f>MID(C310,2,FIND(")",C310,1)-5)</f>
        <v xml:space="preserve">49.19 </v>
      </c>
      <c r="B310" t="str">
        <f>IF(ISNUMBER(FIND("[PASSED]",C310,1)),"PASSED","FAILED")</f>
        <v>PASSED</v>
      </c>
      <c r="C310" s="16" t="s">
        <v>193</v>
      </c>
      <c r="D310" s="6"/>
      <c r="G310" s="13">
        <v>49</v>
      </c>
      <c r="H310" s="13">
        <v>19</v>
      </c>
    </row>
    <row r="311" spans="1:8" ht="15" hidden="1" customHeight="1" x14ac:dyDescent="0.35">
      <c r="A311" s="6" t="str">
        <f>MID(C311,2,FIND(")",C311,1)-5)</f>
        <v xml:space="preserve">49.20 </v>
      </c>
      <c r="B311" t="str">
        <f>IF(ISNUMBER(FIND("[PASSED]",C311,1)),"PASSED","FAILED")</f>
        <v>PASSED</v>
      </c>
      <c r="C311" s="16" t="s">
        <v>207</v>
      </c>
      <c r="D311" s="6"/>
      <c r="G311" s="13">
        <v>49</v>
      </c>
      <c r="H311" s="13">
        <v>20</v>
      </c>
    </row>
    <row r="312" spans="1:8" ht="15" hidden="1" customHeight="1" x14ac:dyDescent="0.35">
      <c r="A312" s="6" t="str">
        <f>MID(C312,2,FIND(")",C312,1)-5)</f>
        <v xml:space="preserve">49.21 </v>
      </c>
      <c r="B312" t="str">
        <f>IF(ISNUMBER(FIND("[PASSED]",C312,1)),"PASSED","FAILED")</f>
        <v>PASSED</v>
      </c>
      <c r="C312" s="16" t="s">
        <v>121</v>
      </c>
      <c r="D312" s="6"/>
      <c r="G312" s="13">
        <v>49</v>
      </c>
      <c r="H312" s="13">
        <v>21</v>
      </c>
    </row>
    <row r="313" spans="1:8" ht="15" hidden="1" customHeight="1" x14ac:dyDescent="0.35">
      <c r="A313" s="6" t="str">
        <f>MID(C313,2,FIND(")",C313,1)-5)</f>
        <v xml:space="preserve">49.22 </v>
      </c>
      <c r="B313" t="str">
        <f>IF(ISNUMBER(FIND("[PASSED]",C313,1)),"PASSED","FAILED")</f>
        <v>PASSED</v>
      </c>
      <c r="C313" s="16" t="s">
        <v>146</v>
      </c>
      <c r="D313" s="6"/>
      <c r="G313" s="13">
        <v>49</v>
      </c>
      <c r="H313" s="13">
        <v>22</v>
      </c>
    </row>
    <row r="314" spans="1:8" ht="15" hidden="1" customHeight="1" x14ac:dyDescent="0.35">
      <c r="A314" s="6" t="str">
        <f>MID(C314,2,FIND(")",C314,1)-5)</f>
        <v xml:space="preserve">49.23 </v>
      </c>
      <c r="B314" t="str">
        <f>IF(ISNUMBER(FIND("[PASSED]",C314,1)),"PASSED","FAILED")</f>
        <v>PASSED</v>
      </c>
      <c r="C314" s="16" t="s">
        <v>55</v>
      </c>
      <c r="D314" s="6"/>
      <c r="G314" s="13">
        <v>49</v>
      </c>
      <c r="H314" s="13">
        <v>23</v>
      </c>
    </row>
    <row r="315" spans="1:8" ht="15" hidden="1" customHeight="1" x14ac:dyDescent="0.35">
      <c r="A315" s="6" t="str">
        <f>MID(C315,2,FIND(")",C315,1)-5)</f>
        <v xml:space="preserve">49.24 </v>
      </c>
      <c r="B315" t="str">
        <f>IF(ISNUMBER(FIND("[PASSED]",C315,1)),"PASSED","FAILED")</f>
        <v>PASSED</v>
      </c>
      <c r="C315" s="16" t="s">
        <v>66</v>
      </c>
      <c r="D315" s="6"/>
      <c r="G315" s="13">
        <v>49</v>
      </c>
      <c r="H315" s="13">
        <v>24</v>
      </c>
    </row>
    <row r="316" spans="1:8" ht="15" hidden="1" customHeight="1" x14ac:dyDescent="0.35">
      <c r="A316" s="6" t="str">
        <f>MID(C316,2,FIND(")",C316,1)-5)</f>
        <v xml:space="preserve">49.25 </v>
      </c>
      <c r="B316" t="str">
        <f>IF(ISNUMBER(FIND("[PASSED]",C316,1)),"PASSED","FAILED")</f>
        <v>PASSED</v>
      </c>
      <c r="C316" s="16" t="s">
        <v>313</v>
      </c>
      <c r="D316" s="6"/>
      <c r="G316" s="13">
        <v>49</v>
      </c>
      <c r="H316" s="13">
        <v>25</v>
      </c>
    </row>
    <row r="317" spans="1:8" ht="15" hidden="1" customHeight="1" x14ac:dyDescent="0.35">
      <c r="A317" s="6" t="str">
        <f>MID(C317,2,FIND(")",C317,1)-5)</f>
        <v xml:space="preserve">49.26 </v>
      </c>
      <c r="B317" t="str">
        <f>IF(ISNUMBER(FIND("[PASSED]",C317,1)),"PASSED","FAILED")</f>
        <v>PASSED</v>
      </c>
      <c r="C317" s="16" t="s">
        <v>54</v>
      </c>
      <c r="D317" s="6"/>
      <c r="G317" s="13">
        <v>49</v>
      </c>
      <c r="H317" s="13">
        <v>26</v>
      </c>
    </row>
    <row r="318" spans="1:8" ht="15" hidden="1" customHeight="1" x14ac:dyDescent="0.35">
      <c r="A318" s="6" t="str">
        <f>MID(C318,2,FIND(")",C318,1)-5)</f>
        <v xml:space="preserve">49.27 </v>
      </c>
      <c r="B318" t="str">
        <f>IF(ISNUMBER(FIND("[PASSED]",C318,1)),"PASSED","FAILED")</f>
        <v>PASSED</v>
      </c>
      <c r="C318" s="16" t="s">
        <v>167</v>
      </c>
      <c r="D318" s="6"/>
      <c r="G318" s="13">
        <v>49</v>
      </c>
      <c r="H318" s="13">
        <v>27</v>
      </c>
    </row>
    <row r="319" spans="1:8" ht="15" hidden="1" customHeight="1" x14ac:dyDescent="0.35">
      <c r="A319" s="6" t="str">
        <f>MID(C319,2,FIND(")",C319,1)-5)</f>
        <v xml:space="preserve">49.28 </v>
      </c>
      <c r="B319" t="str">
        <f>IF(ISNUMBER(FIND("[PASSED]",C319,1)),"PASSED","FAILED")</f>
        <v>PASSED</v>
      </c>
      <c r="C319" s="16" t="s">
        <v>124</v>
      </c>
      <c r="G319" s="13">
        <v>49</v>
      </c>
      <c r="H319" s="13">
        <v>28</v>
      </c>
    </row>
    <row r="320" spans="1:8" ht="15" customHeight="1" x14ac:dyDescent="0.35">
      <c r="A320" s="6" t="str">
        <f>MID(C320,2,FIND(")",C320,1)-5)</f>
        <v xml:space="preserve">49.29 </v>
      </c>
      <c r="B320" t="str">
        <f>IF(ISNUMBER(FIND("[PASSED]",C320,1)),"PASSED","FAILED")</f>
        <v>FAILED</v>
      </c>
      <c r="C320" s="16" t="s">
        <v>297</v>
      </c>
      <c r="D320" s="13" t="s">
        <v>486</v>
      </c>
      <c r="E320" s="6" t="s">
        <v>333</v>
      </c>
      <c r="F320" s="6" t="s">
        <v>479</v>
      </c>
      <c r="G320" s="13">
        <v>49</v>
      </c>
      <c r="H320" s="13">
        <v>29</v>
      </c>
    </row>
    <row r="321" spans="1:8" ht="15" hidden="1" customHeight="1" x14ac:dyDescent="0.35">
      <c r="A321" s="6" t="str">
        <f>MID(C321,2,FIND(")",C321,1)-5)</f>
        <v xml:space="preserve">49.30 </v>
      </c>
      <c r="B321" t="str">
        <f>IF(ISNUMBER(FIND("[PASSED]",C321,1)),"PASSED","FAILED")</f>
        <v>PASSED</v>
      </c>
      <c r="C321" s="16" t="s">
        <v>212</v>
      </c>
      <c r="D321" s="6"/>
      <c r="G321" s="13">
        <v>49</v>
      </c>
      <c r="H321" s="13">
        <v>30</v>
      </c>
    </row>
    <row r="322" spans="1:8" ht="15" hidden="1" customHeight="1" x14ac:dyDescent="0.35">
      <c r="A322" s="6" t="str">
        <f>MID(C322,2,FIND(")",C322,1)-5)</f>
        <v xml:space="preserve">49.31 </v>
      </c>
      <c r="B322" t="str">
        <f>IF(ISNUMBER(FIND("[PASSED]",C322,1)),"PASSED","FAILED")</f>
        <v>PASSED</v>
      </c>
      <c r="C322" s="16" t="s">
        <v>229</v>
      </c>
      <c r="D322" s="6"/>
      <c r="G322" s="13">
        <v>49</v>
      </c>
      <c r="H322" s="13">
        <v>31</v>
      </c>
    </row>
    <row r="323" spans="1:8" ht="15" hidden="1" customHeight="1" x14ac:dyDescent="0.35">
      <c r="A323" s="6" t="str">
        <f>MID(C323,2,FIND(")",C323,1)-5)</f>
        <v xml:space="preserve">49.32 </v>
      </c>
      <c r="B323" t="str">
        <f>IF(ISNUMBER(FIND("[PASSED]",C323,1)),"PASSED","FAILED")</f>
        <v>PASSED</v>
      </c>
      <c r="C323" s="16" t="s">
        <v>170</v>
      </c>
      <c r="D323" s="6"/>
      <c r="G323" s="13">
        <v>49</v>
      </c>
      <c r="H323" s="13">
        <v>32</v>
      </c>
    </row>
    <row r="324" spans="1:8" ht="15" hidden="1" customHeight="1" x14ac:dyDescent="0.35">
      <c r="A324" s="6" t="str">
        <f>MID(C324,2,FIND(")",C324,1)-5)</f>
        <v xml:space="preserve">49.33 </v>
      </c>
      <c r="B324" t="str">
        <f>IF(ISNUMBER(FIND("[PASSED]",C324,1)),"PASSED","FAILED")</f>
        <v>PASSED</v>
      </c>
      <c r="C324" s="16" t="s">
        <v>243</v>
      </c>
      <c r="D324" s="6"/>
      <c r="G324" s="13">
        <v>49</v>
      </c>
      <c r="H324" s="13">
        <v>33</v>
      </c>
    </row>
    <row r="325" spans="1:8" ht="15" hidden="1" customHeight="1" x14ac:dyDescent="0.35">
      <c r="A325" s="6" t="str">
        <f>MID(C325,2,FIND(")",C325,1)-5)</f>
        <v xml:space="preserve">49.34 </v>
      </c>
      <c r="B325" t="str">
        <f>IF(ISNUMBER(FIND("[PASSED]",C325,1)),"PASSED","FAILED")</f>
        <v>PASSED</v>
      </c>
      <c r="C325" s="16" t="s">
        <v>192</v>
      </c>
      <c r="D325" s="6"/>
      <c r="G325" s="13">
        <v>49</v>
      </c>
      <c r="H325" s="13">
        <v>34</v>
      </c>
    </row>
    <row r="326" spans="1:8" ht="15" hidden="1" customHeight="1" x14ac:dyDescent="0.35">
      <c r="A326" s="6" t="str">
        <f>MID(C326,2,FIND(")",C326,1)-5)</f>
        <v xml:space="preserve">49.35 </v>
      </c>
      <c r="B326" t="str">
        <f>IF(ISNUMBER(FIND("[PASSED]",C326,1)),"PASSED","FAILED")</f>
        <v>PASSED</v>
      </c>
      <c r="C326" s="16" t="s">
        <v>94</v>
      </c>
      <c r="D326" s="6"/>
      <c r="G326" s="13">
        <v>49</v>
      </c>
      <c r="H326" s="13">
        <v>35</v>
      </c>
    </row>
    <row r="327" spans="1:8" ht="15" hidden="1" customHeight="1" x14ac:dyDescent="0.35">
      <c r="A327" s="6" t="str">
        <f>MID(C327,2,FIND(")",C327,1)-5)</f>
        <v xml:space="preserve">50.1 </v>
      </c>
      <c r="B327" t="str">
        <f>IF(ISNUMBER(FIND("[PASSED]",C327,1)),"PASSED","FAILED")</f>
        <v>PASSED</v>
      </c>
      <c r="C327" s="16" t="s">
        <v>24</v>
      </c>
      <c r="D327" s="6"/>
      <c r="G327" s="13">
        <v>50</v>
      </c>
      <c r="H327" s="13">
        <v>1</v>
      </c>
    </row>
    <row r="328" spans="1:8" ht="15" hidden="1" customHeight="1" x14ac:dyDescent="0.35">
      <c r="A328" s="6" t="str">
        <f>MID(C328,2,FIND(")",C328,1)-5)</f>
        <v xml:space="preserve">54.1 </v>
      </c>
      <c r="B328" t="str">
        <f>IF(ISNUMBER(FIND("[PASSED]",C328,1)),"PASSED","FAILED")</f>
        <v>PASSED</v>
      </c>
      <c r="C328" s="16" t="s">
        <v>413</v>
      </c>
      <c r="D328" s="6"/>
      <c r="G328" s="13">
        <v>54</v>
      </c>
      <c r="H328" s="13">
        <v>1</v>
      </c>
    </row>
    <row r="329" spans="1:8" ht="15" hidden="1" customHeight="1" x14ac:dyDescent="0.35">
      <c r="A329" s="6" t="str">
        <f>MID(C329,2,FIND(")",C329,1)-5)</f>
        <v xml:space="preserve">55.1 </v>
      </c>
      <c r="B329" t="str">
        <f>IF(ISNUMBER(FIND("[PASSED]",C329,1)),"PASSED","FAILED")</f>
        <v>PASSED</v>
      </c>
      <c r="C329" s="16" t="s">
        <v>139</v>
      </c>
      <c r="D329" s="6"/>
      <c r="G329" s="13">
        <v>55</v>
      </c>
      <c r="H329" s="13">
        <v>1</v>
      </c>
    </row>
    <row r="330" spans="1:8" ht="15" hidden="1" customHeight="1" x14ac:dyDescent="0.35">
      <c r="A330" s="6" t="str">
        <f>MID(C330,2,FIND(")",C330,1)-5)</f>
        <v xml:space="preserve">55.2 </v>
      </c>
      <c r="B330" t="str">
        <f>IF(ISNUMBER(FIND("[PASSED]",C330,1)),"PASSED","FAILED")</f>
        <v>PASSED</v>
      </c>
      <c r="C330" s="16" t="s">
        <v>168</v>
      </c>
      <c r="D330" s="6"/>
      <c r="G330" s="13">
        <v>55</v>
      </c>
      <c r="H330" s="13">
        <v>2</v>
      </c>
    </row>
    <row r="331" spans="1:8" ht="15" hidden="1" customHeight="1" x14ac:dyDescent="0.35">
      <c r="A331" s="6" t="str">
        <f>MID(C331,2,FIND(")",C331,1)-5)</f>
        <v xml:space="preserve">55.3 </v>
      </c>
      <c r="B331" t="str">
        <f>IF(ISNUMBER(FIND("[PASSED]",C331,1)),"PASSED","FAILED")</f>
        <v>PASSED</v>
      </c>
      <c r="C331" s="16" t="s">
        <v>468</v>
      </c>
      <c r="D331" s="6"/>
      <c r="G331" s="13">
        <v>55</v>
      </c>
      <c r="H331" s="13">
        <v>3</v>
      </c>
    </row>
    <row r="332" spans="1:8" ht="15" hidden="1" customHeight="1" x14ac:dyDescent="0.35">
      <c r="A332" s="6" t="str">
        <f>MID(C332,2,FIND(")",C332,1)-5)</f>
        <v xml:space="preserve">55.4 </v>
      </c>
      <c r="B332" t="str">
        <f>IF(ISNUMBER(FIND("[PASSED]",C332,1)),"PASSED","FAILED")</f>
        <v>PASSED</v>
      </c>
      <c r="C332" s="16" t="s">
        <v>377</v>
      </c>
      <c r="D332" s="6"/>
      <c r="G332" s="13">
        <v>55</v>
      </c>
      <c r="H332" s="13">
        <v>4</v>
      </c>
    </row>
    <row r="333" spans="1:8" ht="15" customHeight="1" x14ac:dyDescent="0.35">
      <c r="A333" s="6" t="str">
        <f>MID(C333,2,FIND(")",C333,1)-5)</f>
        <v xml:space="preserve">55.5 </v>
      </c>
      <c r="B333" t="str">
        <f>IF(ISNUMBER(FIND("[PASSED]",C333,1)),"PASSED","FAILED")</f>
        <v>FAILED</v>
      </c>
      <c r="C333" s="16" t="s">
        <v>409</v>
      </c>
      <c r="D333" s="13" t="s">
        <v>487</v>
      </c>
      <c r="E333" s="6" t="s">
        <v>333</v>
      </c>
      <c r="F333" s="6" t="s">
        <v>479</v>
      </c>
      <c r="G333" s="13">
        <v>55</v>
      </c>
      <c r="H333" s="13">
        <v>5</v>
      </c>
    </row>
    <row r="334" spans="1:8" ht="15" hidden="1" customHeight="1" x14ac:dyDescent="0.35">
      <c r="A334" s="6" t="str">
        <f>MID(C334,2,FIND(")",C334,1)-5)</f>
        <v xml:space="preserve">55.6 </v>
      </c>
      <c r="B334" t="str">
        <f>IF(ISNUMBER(FIND("[PASSED]",C334,1)),"PASSED","FAILED")</f>
        <v>PASSED</v>
      </c>
      <c r="C334" s="16" t="s">
        <v>206</v>
      </c>
      <c r="D334" s="6"/>
      <c r="G334" s="13">
        <v>55</v>
      </c>
      <c r="H334" s="13">
        <v>6</v>
      </c>
    </row>
    <row r="335" spans="1:8" ht="15" hidden="1" customHeight="1" x14ac:dyDescent="0.35">
      <c r="A335" s="6" t="str">
        <f>MID(C335,2,FIND(")",C335,1)-5)</f>
        <v xml:space="preserve">55.7 </v>
      </c>
      <c r="B335" t="str">
        <f>IF(ISNUMBER(FIND("[PASSED]",C335,1)),"PASSED","FAILED")</f>
        <v>PASSED</v>
      </c>
      <c r="C335" s="16" t="s">
        <v>290</v>
      </c>
      <c r="G335" s="13">
        <v>55</v>
      </c>
      <c r="H335" s="13">
        <v>7</v>
      </c>
    </row>
    <row r="336" spans="1:8" ht="15" hidden="1" customHeight="1" x14ac:dyDescent="0.35">
      <c r="A336" s="6" t="str">
        <f>MID(C336,2,FIND(")",C336,1)-5)</f>
        <v xml:space="preserve">55.8 </v>
      </c>
      <c r="B336" t="str">
        <f>IF(ISNUMBER(FIND("[PASSED]",C336,1)),"PASSED","FAILED")</f>
        <v>PASSED</v>
      </c>
      <c r="C336" s="16" t="s">
        <v>86</v>
      </c>
      <c r="D336" s="6"/>
      <c r="G336" s="13">
        <v>55</v>
      </c>
      <c r="H336" s="13">
        <v>8</v>
      </c>
    </row>
    <row r="337" spans="1:9" ht="15" customHeight="1" x14ac:dyDescent="0.35">
      <c r="A337" s="6" t="str">
        <f>MID(C337,2,FIND(")",C337,1)-5)</f>
        <v xml:space="preserve">61.1 </v>
      </c>
      <c r="B337" t="str">
        <f>IF(ISNUMBER(FIND("[PASSED]",C337,1)),"PASSED","FAILED")</f>
        <v>FAILED</v>
      </c>
      <c r="C337" s="16" t="s">
        <v>372</v>
      </c>
      <c r="D337" s="13" t="s">
        <v>488</v>
      </c>
      <c r="E337" s="6" t="s">
        <v>333</v>
      </c>
      <c r="F337" s="6" t="s">
        <v>479</v>
      </c>
      <c r="G337" s="13">
        <v>61</v>
      </c>
      <c r="H337" s="13">
        <v>1</v>
      </c>
    </row>
    <row r="338" spans="1:9" ht="15" hidden="1" customHeight="1" x14ac:dyDescent="0.35">
      <c r="A338" s="6" t="str">
        <f>MID(C338,2,FIND(")",C338,1)-5)</f>
        <v xml:space="preserve">68.1 </v>
      </c>
      <c r="B338" t="str">
        <f>IF(ISNUMBER(FIND("[PASSED]",C338,1)),"PASSED","FAILED")</f>
        <v>PASSED</v>
      </c>
      <c r="C338" s="16" t="s">
        <v>364</v>
      </c>
      <c r="D338" s="6"/>
      <c r="G338" s="13">
        <v>68</v>
      </c>
      <c r="H338" s="13">
        <v>1</v>
      </c>
    </row>
    <row r="339" spans="1:9" ht="15" hidden="1" customHeight="1" x14ac:dyDescent="0.35">
      <c r="A339" s="6" t="str">
        <f>MID(C339,2,FIND(")",C339,1)-5)</f>
        <v xml:space="preserve">68.2 </v>
      </c>
      <c r="B339" t="str">
        <f>IF(ISNUMBER(FIND("[PASSED]",C339,1)),"PASSED","FAILED")</f>
        <v>PASSED</v>
      </c>
      <c r="C339" s="16" t="s">
        <v>265</v>
      </c>
      <c r="D339" s="6"/>
      <c r="G339" s="13">
        <v>68</v>
      </c>
      <c r="H339" s="13">
        <v>2</v>
      </c>
    </row>
    <row r="340" spans="1:9" ht="15" hidden="1" customHeight="1" x14ac:dyDescent="0.35">
      <c r="A340" s="6" t="str">
        <f>MID(C340,2,FIND(")",C340,1)-5)</f>
        <v xml:space="preserve">68.3 </v>
      </c>
      <c r="B340" t="str">
        <f>IF(ISNUMBER(FIND("[PASSED]",C340,1)),"PASSED","FAILED")</f>
        <v>PASSED</v>
      </c>
      <c r="C340" s="16" t="s">
        <v>349</v>
      </c>
      <c r="D340" s="6"/>
      <c r="G340" s="13">
        <v>68</v>
      </c>
      <c r="H340" s="13">
        <v>3</v>
      </c>
    </row>
    <row r="341" spans="1:9" ht="15" hidden="1" customHeight="1" x14ac:dyDescent="0.35">
      <c r="A341" s="6" t="str">
        <f>MID(C341,2,FIND(")",C341,1)-5)</f>
        <v xml:space="preserve">68.4 </v>
      </c>
      <c r="B341" t="str">
        <f>IF(ISNUMBER(FIND("[PASSED]",C341,1)),"PASSED","FAILED")</f>
        <v>PASSED</v>
      </c>
      <c r="C341" s="16" t="s">
        <v>357</v>
      </c>
      <c r="G341" s="13">
        <v>68</v>
      </c>
      <c r="H341" s="13">
        <v>4</v>
      </c>
    </row>
    <row r="342" spans="1:9" ht="15" hidden="1" customHeight="1" x14ac:dyDescent="0.35">
      <c r="A342" s="6" t="str">
        <f>MID(C342,2,FIND(")",C342,1)-5)</f>
        <v xml:space="preserve">68.5 </v>
      </c>
      <c r="B342" t="str">
        <f>IF(ISNUMBER(FIND("[PASSED]",C342,1)),"PASSED","FAILED")</f>
        <v>PASSED</v>
      </c>
      <c r="C342" s="16" t="s">
        <v>375</v>
      </c>
      <c r="D342" s="6"/>
      <c r="G342" s="13">
        <v>68</v>
      </c>
      <c r="H342" s="13">
        <v>5</v>
      </c>
    </row>
    <row r="343" spans="1:9" ht="15" hidden="1" customHeight="1" x14ac:dyDescent="0.35">
      <c r="A343" s="6" t="str">
        <f>MID(C343,2,FIND(")",C343,1)-5)</f>
        <v xml:space="preserve">72.1 </v>
      </c>
      <c r="B343" t="str">
        <f>IF(ISNUMBER(FIND("[PASSED]",C343,1)),"PASSED","FAILED")</f>
        <v>PASSED</v>
      </c>
      <c r="C343" s="16" t="s">
        <v>448</v>
      </c>
      <c r="D343" s="6"/>
      <c r="G343" s="13">
        <v>72</v>
      </c>
      <c r="H343" s="13">
        <v>1</v>
      </c>
    </row>
    <row r="344" spans="1:9" ht="15" customHeight="1" x14ac:dyDescent="0.35">
      <c r="A344" s="6" t="str">
        <f>MID(C344,2,FIND(")",C344,1)-5)</f>
        <v xml:space="preserve">72.2 </v>
      </c>
      <c r="B344" t="str">
        <f>IF(ISNUMBER(FIND("[PASSED]",C344,1)),"PASSED","FAILED")</f>
        <v>FAILED</v>
      </c>
      <c r="C344" s="16" t="s">
        <v>173</v>
      </c>
      <c r="D344" s="13" t="s">
        <v>489</v>
      </c>
      <c r="E344" s="6" t="s">
        <v>333</v>
      </c>
      <c r="F344" s="6" t="s">
        <v>479</v>
      </c>
      <c r="G344" s="13">
        <v>72</v>
      </c>
      <c r="H344" s="13">
        <v>2</v>
      </c>
    </row>
    <row r="345" spans="1:9" ht="15" hidden="1" customHeight="1" x14ac:dyDescent="0.35">
      <c r="A345" s="6" t="str">
        <f>MID(C345,2,FIND(")",C345,1)-5)</f>
        <v xml:space="preserve">72.3 </v>
      </c>
      <c r="B345" t="str">
        <f>IF(ISNUMBER(FIND("[PASSED]",C345,1)),"PASSED","FAILED")</f>
        <v>PASSED</v>
      </c>
      <c r="C345" s="16" t="s">
        <v>298</v>
      </c>
      <c r="G345" s="13">
        <v>72</v>
      </c>
      <c r="H345" s="13">
        <v>3</v>
      </c>
    </row>
    <row r="346" spans="1:9" ht="15" hidden="1" customHeight="1" x14ac:dyDescent="0.35">
      <c r="A346" s="6" t="str">
        <f>MID(C346,2,FIND(")",C346,1)-5)</f>
        <v xml:space="preserve">72.4 </v>
      </c>
      <c r="B346" t="str">
        <f>IF(ISNUMBER(FIND("[PASSED]",C346,1)),"PASSED","FAILED")</f>
        <v>PASSED</v>
      </c>
      <c r="C346" s="16" t="s">
        <v>391</v>
      </c>
      <c r="D346" s="6"/>
      <c r="G346" s="13">
        <v>72</v>
      </c>
      <c r="H346" s="13">
        <v>4</v>
      </c>
    </row>
    <row r="347" spans="1:9" ht="15" hidden="1" customHeight="1" x14ac:dyDescent="0.35">
      <c r="A347" s="6" t="str">
        <f>MID(C347,2,FIND(")",C347,1)-5)</f>
        <v xml:space="preserve">74.1 </v>
      </c>
      <c r="B347" t="str">
        <f>IF(ISNUMBER(FIND("[PASSED]",C347,1)),"PASSED","FAILED")</f>
        <v>PASSED</v>
      </c>
      <c r="C347" s="16" t="s">
        <v>433</v>
      </c>
      <c r="D347" s="6"/>
      <c r="G347" s="13">
        <v>74</v>
      </c>
      <c r="H347" s="13">
        <v>1</v>
      </c>
    </row>
    <row r="348" spans="1:9" ht="15" hidden="1" customHeight="1" x14ac:dyDescent="0.35">
      <c r="A348" s="6" t="str">
        <f>MID(C348,2,FIND(")",C348,1)-5)</f>
        <v xml:space="preserve">76.1.1 </v>
      </c>
      <c r="B348" t="str">
        <f>IF(ISNUMBER(FIND("[PASSED]",C348,1)),"PASSED","FAILED")</f>
        <v>PASSED</v>
      </c>
      <c r="C348" s="16" t="s">
        <v>292</v>
      </c>
      <c r="D348" s="6"/>
      <c r="G348" s="13">
        <v>76</v>
      </c>
      <c r="H348" s="13">
        <v>1</v>
      </c>
      <c r="I348" s="13">
        <v>1</v>
      </c>
    </row>
    <row r="349" spans="1:9" ht="15" hidden="1" customHeight="1" x14ac:dyDescent="0.35">
      <c r="A349" s="6" t="str">
        <f>MID(C349,2,FIND(")",C349,1)-5)</f>
        <v xml:space="preserve">76.1.2 </v>
      </c>
      <c r="B349" t="str">
        <f>IF(ISNUMBER(FIND("[PASSED]",C349,1)),"PASSED","FAILED")</f>
        <v>PASSED</v>
      </c>
      <c r="C349" s="16" t="s">
        <v>132</v>
      </c>
      <c r="G349" s="13">
        <v>76</v>
      </c>
      <c r="H349" s="13">
        <v>1</v>
      </c>
      <c r="I349" s="13">
        <v>2</v>
      </c>
    </row>
    <row r="350" spans="1:9" ht="15" hidden="1" customHeight="1" x14ac:dyDescent="0.35">
      <c r="A350" s="6" t="str">
        <f>MID(C350,2,FIND(")",C350,1)-5)</f>
        <v xml:space="preserve">76.1.3 </v>
      </c>
      <c r="B350" t="str">
        <f>IF(ISNUMBER(FIND("[PASSED]",C350,1)),"PASSED","FAILED")</f>
        <v>PASSED</v>
      </c>
      <c r="C350" s="16" t="s">
        <v>271</v>
      </c>
      <c r="G350" s="13">
        <v>76</v>
      </c>
      <c r="H350" s="13">
        <v>1</v>
      </c>
      <c r="I350" s="13">
        <v>3</v>
      </c>
    </row>
    <row r="351" spans="1:9" ht="15" hidden="1" customHeight="1" x14ac:dyDescent="0.35">
      <c r="A351" s="6" t="str">
        <f>MID(C351,2,FIND(")",C351,1)-5)</f>
        <v xml:space="preserve">76.1.4 </v>
      </c>
      <c r="B351" t="str">
        <f>IF(ISNUMBER(FIND("[PASSED]",C351,1)),"PASSED","FAILED")</f>
        <v>PASSED</v>
      </c>
      <c r="C351" s="16" t="s">
        <v>278</v>
      </c>
      <c r="D351" s="6"/>
      <c r="G351" s="13">
        <v>76</v>
      </c>
      <c r="H351" s="13">
        <v>1</v>
      </c>
      <c r="I351" s="13">
        <v>4</v>
      </c>
    </row>
    <row r="352" spans="1:9" ht="15" hidden="1" customHeight="1" x14ac:dyDescent="0.35">
      <c r="A352" s="6" t="str">
        <f>MID(C352,2,FIND(")",C352,1)-5)</f>
        <v xml:space="preserve">79.1 </v>
      </c>
      <c r="B352" t="str">
        <f>IF(ISNUMBER(FIND("[PASSED]",C352,1)),"PASSED","FAILED")</f>
        <v>PASSED</v>
      </c>
      <c r="C352" s="16" t="s">
        <v>241</v>
      </c>
      <c r="D352" s="6"/>
      <c r="G352" s="13">
        <v>79</v>
      </c>
      <c r="H352" s="13">
        <v>1</v>
      </c>
    </row>
    <row r="353" spans="1:8" ht="15" customHeight="1" x14ac:dyDescent="0.35">
      <c r="A353" s="6" t="str">
        <f>MID(C353,2,FIND(")",C353,1)-5)</f>
        <v xml:space="preserve">80.1 </v>
      </c>
      <c r="B353" t="str">
        <f>IF(ISNUMBER(FIND("[PASSED]",C353,1)),"PASSED","FAILED")</f>
        <v>FAILED</v>
      </c>
      <c r="C353" s="16" t="s">
        <v>348</v>
      </c>
      <c r="D353" s="13" t="s">
        <v>490</v>
      </c>
      <c r="E353" s="6" t="s">
        <v>333</v>
      </c>
      <c r="F353" s="6" t="s">
        <v>479</v>
      </c>
      <c r="G353" s="13">
        <v>80</v>
      </c>
      <c r="H353" s="13">
        <v>1</v>
      </c>
    </row>
    <row r="354" spans="1:8" ht="15" hidden="1" customHeight="1" x14ac:dyDescent="0.35">
      <c r="A354" s="6" t="str">
        <f>MID(C354,2,FIND(")",C354,1)-5)</f>
        <v xml:space="preserve">80.2 </v>
      </c>
      <c r="B354" t="str">
        <f>IF(ISNUMBER(FIND("[PASSED]",C354,1)),"PASSED","FAILED")</f>
        <v>PASSED</v>
      </c>
      <c r="C354" s="16" t="s">
        <v>382</v>
      </c>
      <c r="D354" s="6"/>
      <c r="G354" s="13">
        <v>80</v>
      </c>
      <c r="H354" s="13">
        <v>2</v>
      </c>
    </row>
    <row r="355" spans="1:8" ht="15" hidden="1" customHeight="1" x14ac:dyDescent="0.35">
      <c r="A355" s="6" t="str">
        <f>MID(C355,2,FIND(")",C355,1)-5)</f>
        <v xml:space="preserve">80.3 </v>
      </c>
      <c r="B355" t="str">
        <f>IF(ISNUMBER(FIND("[PASSED]",C355,1)),"PASSED","FAILED")</f>
        <v>PASSED</v>
      </c>
      <c r="C355" s="16" t="s">
        <v>224</v>
      </c>
      <c r="D355" s="6"/>
      <c r="G355" s="13">
        <v>80</v>
      </c>
      <c r="H355" s="13">
        <v>3</v>
      </c>
    </row>
    <row r="356" spans="1:8" ht="15" hidden="1" customHeight="1" x14ac:dyDescent="0.35">
      <c r="A356" s="6" t="str">
        <f>MID(C356,2,FIND(")",C356,1)-5)</f>
        <v xml:space="preserve">80.4 </v>
      </c>
      <c r="B356" t="str">
        <f>IF(ISNUMBER(FIND("[PASSED]",C356,1)),"PASSED","FAILED")</f>
        <v>PASSED</v>
      </c>
      <c r="C356" s="16" t="s">
        <v>355</v>
      </c>
      <c r="D356" s="6"/>
      <c r="G356" s="13">
        <v>80</v>
      </c>
      <c r="H356" s="13">
        <v>4</v>
      </c>
    </row>
    <row r="357" spans="1:8" ht="15" customHeight="1" x14ac:dyDescent="0.35">
      <c r="A357" s="6" t="str">
        <f>MID(C357,2,FIND(")",C357,1)-5)</f>
        <v xml:space="preserve">80.5 </v>
      </c>
      <c r="B357" t="str">
        <f>IF(ISNUMBER(FIND("[PASSED]",C357,1)),"PASSED","FAILED")</f>
        <v>FAILED</v>
      </c>
      <c r="C357" s="16" t="s">
        <v>426</v>
      </c>
      <c r="D357" s="13" t="s">
        <v>491</v>
      </c>
      <c r="E357" s="6" t="s">
        <v>333</v>
      </c>
      <c r="F357" s="6" t="s">
        <v>479</v>
      </c>
      <c r="G357" s="13">
        <v>80</v>
      </c>
      <c r="H357" s="13">
        <v>5</v>
      </c>
    </row>
    <row r="358" spans="1:8" ht="15" hidden="1" customHeight="1" x14ac:dyDescent="0.35">
      <c r="A358" s="6" t="str">
        <f>MID(C358,2,FIND(")",C358,1)-5)</f>
        <v xml:space="preserve">80.6 </v>
      </c>
      <c r="B358" t="str">
        <f>IF(ISNUMBER(FIND("[PASSED]",C358,1)),"PASSED","FAILED")</f>
        <v>PASSED</v>
      </c>
      <c r="C358" s="16" t="s">
        <v>239</v>
      </c>
      <c r="D358" s="6"/>
      <c r="G358" s="13">
        <v>80</v>
      </c>
      <c r="H358" s="13">
        <v>6</v>
      </c>
    </row>
    <row r="359" spans="1:8" ht="15" hidden="1" customHeight="1" x14ac:dyDescent="0.35">
      <c r="A359" s="6" t="str">
        <f>MID(C359,2,FIND(")",C359,1)-5)</f>
        <v xml:space="preserve">80.7 </v>
      </c>
      <c r="B359" t="str">
        <f>IF(ISNUMBER(FIND("[PASSED]",C359,1)),"PASSED","FAILED")</f>
        <v>PASSED</v>
      </c>
      <c r="C359" s="16" t="s">
        <v>30</v>
      </c>
      <c r="G359" s="13">
        <v>80</v>
      </c>
      <c r="H359" s="13">
        <v>7</v>
      </c>
    </row>
    <row r="360" spans="1:8" ht="15" hidden="1" customHeight="1" x14ac:dyDescent="0.35">
      <c r="A360" s="6" t="str">
        <f>MID(C360,2,FIND(")",C360,1)-5)</f>
        <v xml:space="preserve">80.8 </v>
      </c>
      <c r="B360" t="str">
        <f>IF(ISNUMBER(FIND("[PASSED]",C360,1)),"PASSED","FAILED")</f>
        <v>PASSED</v>
      </c>
      <c r="C360" s="16" t="s">
        <v>318</v>
      </c>
      <c r="D360" s="6"/>
      <c r="G360" s="13">
        <v>80</v>
      </c>
      <c r="H360" s="13">
        <v>8</v>
      </c>
    </row>
    <row r="361" spans="1:8" ht="15" customHeight="1" x14ac:dyDescent="0.35">
      <c r="A361" s="6" t="str">
        <f>MID(C361,2,FIND(")",C361,1)-5)</f>
        <v xml:space="preserve">81.1 </v>
      </c>
      <c r="B361" t="str">
        <f>IF(ISNUMBER(FIND("[PASSED]",C361,1)),"PASSED","FAILED")</f>
        <v>FAILED</v>
      </c>
      <c r="C361" s="16" t="s">
        <v>467</v>
      </c>
      <c r="D361" s="13" t="s">
        <v>492</v>
      </c>
      <c r="E361" s="6" t="s">
        <v>333</v>
      </c>
      <c r="F361" s="6" t="s">
        <v>479</v>
      </c>
      <c r="G361" s="13">
        <v>81</v>
      </c>
      <c r="H361" s="13">
        <v>1</v>
      </c>
    </row>
    <row r="362" spans="1:8" ht="15" customHeight="1" x14ac:dyDescent="0.35">
      <c r="A362" s="6" t="str">
        <f>MID(C362,2,FIND(")",C362,1)-5)</f>
        <v xml:space="preserve">81.2 </v>
      </c>
      <c r="B362" t="str">
        <f>IF(ISNUMBER(FIND("[PASSED]",C362,1)),"PASSED","FAILED")</f>
        <v>FAILED</v>
      </c>
      <c r="C362" s="16" t="s">
        <v>436</v>
      </c>
      <c r="D362" s="13" t="s">
        <v>492</v>
      </c>
      <c r="E362" s="6" t="s">
        <v>333</v>
      </c>
      <c r="F362" s="6" t="s">
        <v>479</v>
      </c>
      <c r="G362" s="13">
        <v>81</v>
      </c>
      <c r="H362" s="13">
        <v>2</v>
      </c>
    </row>
    <row r="363" spans="1:8" ht="15" hidden="1" customHeight="1" x14ac:dyDescent="0.35">
      <c r="A363" s="6" t="str">
        <f>MID(C363,2,FIND(")",C363,1)-5)</f>
        <v xml:space="preserve">81.3 </v>
      </c>
      <c r="B363" t="str">
        <f>IF(ISNUMBER(FIND("[PASSED]",C363,1)),"PASSED","FAILED")</f>
        <v>PASSED</v>
      </c>
      <c r="C363" s="16" t="s">
        <v>25</v>
      </c>
      <c r="D363" s="6"/>
      <c r="G363" s="13">
        <v>81</v>
      </c>
      <c r="H363" s="13">
        <v>3</v>
      </c>
    </row>
    <row r="364" spans="1:8" ht="15" hidden="1" customHeight="1" x14ac:dyDescent="0.35">
      <c r="A364" s="6" t="str">
        <f>MID(C364,2,FIND(")",C364,1)-5)</f>
        <v xml:space="preserve">81.4 </v>
      </c>
      <c r="B364" t="str">
        <f>IF(ISNUMBER(FIND("[PASSED]",C364,1)),"PASSED","FAILED")</f>
        <v>PASSED</v>
      </c>
      <c r="C364" s="16" t="s">
        <v>415</v>
      </c>
      <c r="D364" s="6"/>
      <c r="G364" s="13">
        <v>81</v>
      </c>
      <c r="H364" s="13">
        <v>4</v>
      </c>
    </row>
    <row r="365" spans="1:8" ht="15" hidden="1" customHeight="1" x14ac:dyDescent="0.35">
      <c r="A365" s="6" t="str">
        <f>MID(C365,2,FIND(")",C365,1)-5)</f>
        <v xml:space="preserve">81.5 </v>
      </c>
      <c r="B365" t="str">
        <f>IF(ISNUMBER(FIND("[PASSED]",C365,1)),"PASSED","FAILED")</f>
        <v>PASSED</v>
      </c>
      <c r="C365" s="16" t="s">
        <v>431</v>
      </c>
      <c r="D365" s="6"/>
      <c r="G365" s="13">
        <v>81</v>
      </c>
      <c r="H365" s="13">
        <v>5</v>
      </c>
    </row>
    <row r="366" spans="1:8" ht="15" hidden="1" customHeight="1" x14ac:dyDescent="0.35">
      <c r="A366" s="6" t="str">
        <f>MID(C366,2,FIND(")",C366,1)-5)</f>
        <v xml:space="preserve">81.6 </v>
      </c>
      <c r="B366" t="str">
        <f>IF(ISNUMBER(FIND("[PASSED]",C366,1)),"PASSED","FAILED")</f>
        <v>PASSED</v>
      </c>
      <c r="C366" s="16" t="s">
        <v>399</v>
      </c>
      <c r="D366" s="6"/>
      <c r="G366" s="13">
        <v>81</v>
      </c>
      <c r="H366" s="13">
        <v>6</v>
      </c>
    </row>
    <row r="367" spans="1:8" ht="15" hidden="1" customHeight="1" x14ac:dyDescent="0.35">
      <c r="A367" s="6" t="str">
        <f>MID(C367,2,FIND(")",C367,1)-5)</f>
        <v xml:space="preserve">81.7 </v>
      </c>
      <c r="B367" t="str">
        <f>IF(ISNUMBER(FIND("[PASSED]",C367,1)),"PASSED","FAILED")</f>
        <v>PASSED</v>
      </c>
      <c r="C367" s="16" t="s">
        <v>253</v>
      </c>
      <c r="D367" s="6"/>
      <c r="G367" s="13">
        <v>81</v>
      </c>
      <c r="H367" s="13">
        <v>7</v>
      </c>
    </row>
    <row r="368" spans="1:8" ht="15" hidden="1" customHeight="1" x14ac:dyDescent="0.35">
      <c r="A368" s="6" t="str">
        <f>MID(C368,2,FIND(")",C368,1)-5)</f>
        <v xml:space="preserve">81.8 </v>
      </c>
      <c r="B368" t="str">
        <f>IF(ISNUMBER(FIND("[PASSED]",C368,1)),"PASSED","FAILED")</f>
        <v>PASSED</v>
      </c>
      <c r="C368" s="16" t="s">
        <v>254</v>
      </c>
      <c r="D368" s="6"/>
      <c r="G368" s="13">
        <v>81</v>
      </c>
      <c r="H368" s="13">
        <v>8</v>
      </c>
    </row>
    <row r="369" spans="1:8" ht="15" hidden="1" customHeight="1" x14ac:dyDescent="0.35">
      <c r="A369" s="6" t="str">
        <f>MID(C369,2,FIND(")",C369,1)-5)</f>
        <v xml:space="preserve">81.9 </v>
      </c>
      <c r="B369" t="str">
        <f>IF(ISNUMBER(FIND("[PASSED]",C369,1)),"PASSED","FAILED")</f>
        <v>PASSED</v>
      </c>
      <c r="C369" s="16" t="s">
        <v>402</v>
      </c>
      <c r="D369" s="6"/>
      <c r="G369" s="13">
        <v>81</v>
      </c>
      <c r="H369" s="13">
        <v>9</v>
      </c>
    </row>
    <row r="370" spans="1:8" ht="15" hidden="1" customHeight="1" x14ac:dyDescent="0.35">
      <c r="A370" s="6" t="str">
        <f>MID(C370,2,FIND(")",C370,1)-5)</f>
        <v xml:space="preserve">81.10 </v>
      </c>
      <c r="B370" t="str">
        <f>IF(ISNUMBER(FIND("[PASSED]",C370,1)),"PASSED","FAILED")</f>
        <v>PASSED</v>
      </c>
      <c r="C370" s="16" t="s">
        <v>119</v>
      </c>
      <c r="D370" s="6"/>
      <c r="G370" s="13">
        <v>81</v>
      </c>
      <c r="H370" s="13">
        <v>10</v>
      </c>
    </row>
    <row r="371" spans="1:8" ht="15" hidden="1" customHeight="1" x14ac:dyDescent="0.35">
      <c r="A371" s="6" t="str">
        <f>MID(C371,2,FIND(")",C371,1)-5)</f>
        <v xml:space="preserve">81.11 </v>
      </c>
      <c r="B371" t="str">
        <f>IF(ISNUMBER(FIND("[PASSED]",C371,1)),"PASSED","FAILED")</f>
        <v>PASSED</v>
      </c>
      <c r="C371" s="16" t="s">
        <v>106</v>
      </c>
      <c r="D371" s="6"/>
      <c r="G371" s="13">
        <v>81</v>
      </c>
      <c r="H371" s="13">
        <v>11</v>
      </c>
    </row>
    <row r="372" spans="1:8" ht="15" hidden="1" customHeight="1" x14ac:dyDescent="0.35">
      <c r="A372" s="6" t="str">
        <f>MID(C372,2,FIND(")",C372,1)-5)</f>
        <v xml:space="preserve">81.12 </v>
      </c>
      <c r="B372" t="str">
        <f>IF(ISNUMBER(FIND("[PASSED]",C372,1)),"PASSED","FAILED")</f>
        <v>PASSED</v>
      </c>
      <c r="C372" s="16" t="s">
        <v>356</v>
      </c>
      <c r="D372" s="6"/>
      <c r="G372" s="13">
        <v>81</v>
      </c>
      <c r="H372" s="13">
        <v>12</v>
      </c>
    </row>
    <row r="373" spans="1:8" ht="15" hidden="1" customHeight="1" x14ac:dyDescent="0.35">
      <c r="A373" s="6" t="str">
        <f>MID(C373,2,FIND(")",C373,1)-5)</f>
        <v xml:space="preserve">81.13 </v>
      </c>
      <c r="B373" t="str">
        <f>IF(ISNUMBER(FIND("[PASSED]",C373,1)),"PASSED","FAILED")</f>
        <v>PASSED</v>
      </c>
      <c r="C373" s="16" t="s">
        <v>244</v>
      </c>
      <c r="D373" s="6"/>
      <c r="G373" s="13">
        <v>81</v>
      </c>
      <c r="H373" s="13">
        <v>13</v>
      </c>
    </row>
    <row r="374" spans="1:8" ht="15" customHeight="1" x14ac:dyDescent="0.35">
      <c r="A374" s="6" t="str">
        <f>MID(C374,2,FIND(")",C374,1)-5)</f>
        <v xml:space="preserve">81.14 </v>
      </c>
      <c r="B374" t="str">
        <f>IF(ISNUMBER(FIND("[PASSED]",C374,1)),"PASSED","FAILED")</f>
        <v>FAILED</v>
      </c>
      <c r="C374" s="16" t="s">
        <v>354</v>
      </c>
      <c r="D374" s="13" t="s">
        <v>493</v>
      </c>
      <c r="E374" s="6" t="s">
        <v>333</v>
      </c>
      <c r="F374" s="6" t="s">
        <v>479</v>
      </c>
      <c r="G374" s="13">
        <v>81</v>
      </c>
      <c r="H374" s="13">
        <v>14</v>
      </c>
    </row>
    <row r="375" spans="1:8" ht="15" hidden="1" customHeight="1" x14ac:dyDescent="0.35">
      <c r="A375" s="6" t="str">
        <f>MID(C375,2,FIND(")",C375,1)-5)</f>
        <v xml:space="preserve">81.15 </v>
      </c>
      <c r="B375" t="str">
        <f>IF(ISNUMBER(FIND("[PASSED]",C375,1)),"PASSED","FAILED")</f>
        <v>PASSED</v>
      </c>
      <c r="C375" s="16" t="s">
        <v>344</v>
      </c>
      <c r="D375" s="6"/>
      <c r="G375" s="13">
        <v>81</v>
      </c>
      <c r="H375" s="13">
        <v>15</v>
      </c>
    </row>
    <row r="376" spans="1:8" ht="15" hidden="1" customHeight="1" x14ac:dyDescent="0.35">
      <c r="A376" s="6" t="str">
        <f>MID(C376,2,FIND(")",C376,1)-5)</f>
        <v xml:space="preserve">81.16 </v>
      </c>
      <c r="B376" t="str">
        <f>IF(ISNUMBER(FIND("[PASSED]",C376,1)),"PASSED","FAILED")</f>
        <v>PASSED</v>
      </c>
      <c r="C376" s="16" t="s">
        <v>447</v>
      </c>
      <c r="D376" s="6"/>
      <c r="G376" s="13">
        <v>81</v>
      </c>
      <c r="H376" s="13">
        <v>16</v>
      </c>
    </row>
    <row r="377" spans="1:8" ht="15" hidden="1" customHeight="1" x14ac:dyDescent="0.35">
      <c r="A377" s="6" t="str">
        <f>MID(C377,2,FIND(")",C377,1)-5)</f>
        <v xml:space="preserve">81.17 </v>
      </c>
      <c r="B377" t="str">
        <f>IF(ISNUMBER(FIND("[PASSED]",C377,1)),"PASSED","FAILED")</f>
        <v>PASSED</v>
      </c>
      <c r="C377" s="16" t="s">
        <v>411</v>
      </c>
      <c r="D377" s="6"/>
      <c r="G377" s="13">
        <v>81</v>
      </c>
      <c r="H377" s="13">
        <v>17</v>
      </c>
    </row>
    <row r="378" spans="1:8" ht="15" hidden="1" customHeight="1" x14ac:dyDescent="0.35">
      <c r="A378" s="6" t="str">
        <f>MID(C378,2,FIND(")",C378,1)-5)</f>
        <v xml:space="preserve">81.18 </v>
      </c>
      <c r="B378" t="str">
        <f>IF(ISNUMBER(FIND("[PASSED]",C378,1)),"PASSED","FAILED")</f>
        <v>PASSED</v>
      </c>
      <c r="C378" s="16" t="s">
        <v>397</v>
      </c>
      <c r="D378" s="6"/>
      <c r="G378" s="13">
        <v>81</v>
      </c>
      <c r="H378" s="13">
        <v>18</v>
      </c>
    </row>
    <row r="379" spans="1:8" ht="15" hidden="1" customHeight="1" x14ac:dyDescent="0.35">
      <c r="A379" s="6" t="str">
        <f>MID(C379,2,FIND(")",C379,1)-5)</f>
        <v xml:space="preserve">81.19 </v>
      </c>
      <c r="B379" t="str">
        <f>IF(ISNUMBER(FIND("[PASSED]",C379,1)),"PASSED","FAILED")</f>
        <v>PASSED</v>
      </c>
      <c r="C379" s="16" t="s">
        <v>393</v>
      </c>
      <c r="D379" s="6"/>
      <c r="G379" s="13">
        <v>81</v>
      </c>
      <c r="H379" s="13">
        <v>19</v>
      </c>
    </row>
    <row r="380" spans="1:8" ht="15" hidden="1" customHeight="1" x14ac:dyDescent="0.35">
      <c r="A380" s="6" t="str">
        <f>MID(C380,2,FIND(")",C380,1)-5)</f>
        <v xml:space="preserve">81.20 </v>
      </c>
      <c r="B380" t="str">
        <f>IF(ISNUMBER(FIND("[PASSED]",C380,1)),"PASSED","FAILED")</f>
        <v>PASSED</v>
      </c>
      <c r="C380" s="16" t="s">
        <v>231</v>
      </c>
      <c r="D380" s="6"/>
      <c r="G380" s="13">
        <v>81</v>
      </c>
      <c r="H380" s="13">
        <v>20</v>
      </c>
    </row>
    <row r="381" spans="1:8" ht="15" hidden="1" customHeight="1" x14ac:dyDescent="0.35">
      <c r="A381" s="6" t="str">
        <f>MID(C381,2,FIND(")",C381,1)-5)</f>
        <v xml:space="preserve">81.21 </v>
      </c>
      <c r="B381" t="str">
        <f>IF(ISNUMBER(FIND("[PASSED]",C381,1)),"PASSED","FAILED")</f>
        <v>PASSED</v>
      </c>
      <c r="C381" s="16" t="s">
        <v>454</v>
      </c>
      <c r="D381" s="6"/>
      <c r="G381" s="13">
        <v>81</v>
      </c>
      <c r="H381" s="13">
        <v>21</v>
      </c>
    </row>
    <row r="382" spans="1:8" ht="15" hidden="1" customHeight="1" x14ac:dyDescent="0.35">
      <c r="A382" s="6" t="str">
        <f>MID(C382,2,FIND(")",C382,1)-5)</f>
        <v xml:space="preserve">81.22 </v>
      </c>
      <c r="B382" t="str">
        <f>IF(ISNUMBER(FIND("[PASSED]",C382,1)),"PASSED","FAILED")</f>
        <v>PASSED</v>
      </c>
      <c r="C382" s="16" t="s">
        <v>60</v>
      </c>
      <c r="D382" s="6"/>
      <c r="G382" s="13">
        <v>81</v>
      </c>
      <c r="H382" s="13">
        <v>22</v>
      </c>
    </row>
    <row r="383" spans="1:8" ht="15" hidden="1" customHeight="1" x14ac:dyDescent="0.35">
      <c r="A383" s="6" t="str">
        <f>MID(C383,2,FIND(")",C383,1)-5)</f>
        <v xml:space="preserve">81.23 </v>
      </c>
      <c r="B383" t="str">
        <f>IF(ISNUMBER(FIND("[PASSED]",C383,1)),"PASSED","FAILED")</f>
        <v>PASSED</v>
      </c>
      <c r="C383" s="16" t="s">
        <v>362</v>
      </c>
      <c r="D383" s="6"/>
      <c r="G383" s="13">
        <v>81</v>
      </c>
      <c r="H383" s="13">
        <v>23</v>
      </c>
    </row>
    <row r="384" spans="1:8" ht="15" hidden="1" customHeight="1" x14ac:dyDescent="0.35">
      <c r="A384" s="6" t="str">
        <f>MID(C384,2,FIND(")",C384,1)-5)</f>
        <v xml:space="preserve">81.24 </v>
      </c>
      <c r="B384" t="str">
        <f>IF(ISNUMBER(FIND("[PASSED]",C384,1)),"PASSED","FAILED")</f>
        <v>PASSED</v>
      </c>
      <c r="C384" s="16" t="s">
        <v>230</v>
      </c>
      <c r="D384" s="6"/>
      <c r="G384" s="13">
        <v>81</v>
      </c>
      <c r="H384" s="13">
        <v>24</v>
      </c>
    </row>
    <row r="385" spans="1:8" ht="15" hidden="1" customHeight="1" x14ac:dyDescent="0.35">
      <c r="A385" s="6" t="str">
        <f>MID(C385,2,FIND(")",C385,1)-5)</f>
        <v xml:space="preserve">81.25 </v>
      </c>
      <c r="B385" t="str">
        <f>IF(ISNUMBER(FIND("[PASSED]",C385,1)),"PASSED","FAILED")</f>
        <v>PASSED</v>
      </c>
      <c r="C385" s="16" t="s">
        <v>420</v>
      </c>
      <c r="D385" s="6"/>
      <c r="G385" s="13">
        <v>81</v>
      </c>
      <c r="H385" s="13">
        <v>25</v>
      </c>
    </row>
    <row r="386" spans="1:8" ht="15" hidden="1" customHeight="1" x14ac:dyDescent="0.35">
      <c r="A386" s="6" t="str">
        <f>MID(C386,2,FIND(")",C386,1)-5)</f>
        <v xml:space="preserve">81.26 </v>
      </c>
      <c r="B386" t="str">
        <f>IF(ISNUMBER(FIND("[PASSED]",C386,1)),"PASSED","FAILED")</f>
        <v>PASSED</v>
      </c>
      <c r="C386" s="16" t="s">
        <v>165</v>
      </c>
      <c r="G386" s="13">
        <v>81</v>
      </c>
      <c r="H386" s="13">
        <v>26</v>
      </c>
    </row>
    <row r="387" spans="1:8" ht="15" hidden="1" customHeight="1" x14ac:dyDescent="0.35">
      <c r="A387" s="6" t="str">
        <f>MID(C387,2,FIND(")",C387,1)-5)</f>
        <v xml:space="preserve">81.27 </v>
      </c>
      <c r="B387" t="str">
        <f>IF(ISNUMBER(FIND("[PASSED]",C387,1)),"PASSED","FAILED")</f>
        <v>PASSED</v>
      </c>
      <c r="C387" s="16" t="s">
        <v>47</v>
      </c>
      <c r="G387" s="13">
        <v>81</v>
      </c>
      <c r="H387" s="13">
        <v>27</v>
      </c>
    </row>
    <row r="388" spans="1:8" ht="15" hidden="1" customHeight="1" x14ac:dyDescent="0.35">
      <c r="A388" s="6" t="str">
        <f>MID(C388,2,FIND(")",C388,1)-5)</f>
        <v xml:space="preserve">81.28 </v>
      </c>
      <c r="B388" t="str">
        <f>IF(ISNUMBER(FIND("[PASSED]",C388,1)),"PASSED","FAILED")</f>
        <v>PASSED</v>
      </c>
      <c r="C388" s="16" t="s">
        <v>198</v>
      </c>
      <c r="D388" s="6"/>
      <c r="G388" s="13">
        <v>81</v>
      </c>
      <c r="H388" s="13">
        <v>28</v>
      </c>
    </row>
    <row r="389" spans="1:8" ht="15" hidden="1" customHeight="1" x14ac:dyDescent="0.35">
      <c r="A389" s="6" t="str">
        <f>MID(C389,2,FIND(")",C389,1)-5)</f>
        <v xml:space="preserve">81.29 </v>
      </c>
      <c r="B389" t="str">
        <f>IF(ISNUMBER(FIND("[PASSED]",C389,1)),"PASSED","FAILED")</f>
        <v>PASSED</v>
      </c>
      <c r="C389" s="16" t="s">
        <v>316</v>
      </c>
      <c r="G389" s="13">
        <v>81</v>
      </c>
      <c r="H389" s="13">
        <v>29</v>
      </c>
    </row>
    <row r="390" spans="1:8" ht="15" hidden="1" customHeight="1" x14ac:dyDescent="0.35">
      <c r="A390" s="6" t="str">
        <f>MID(C390,2,FIND(")",C390,1)-5)</f>
        <v xml:space="preserve">81.30 </v>
      </c>
      <c r="B390" t="str">
        <f>IF(ISNUMBER(FIND("[PASSED]",C390,1)),"PASSED","FAILED")</f>
        <v>PASSED</v>
      </c>
      <c r="C390" s="16" t="s">
        <v>380</v>
      </c>
      <c r="D390" s="6"/>
      <c r="G390" s="13">
        <v>81</v>
      </c>
      <c r="H390" s="13">
        <v>30</v>
      </c>
    </row>
    <row r="391" spans="1:8" ht="15" hidden="1" customHeight="1" x14ac:dyDescent="0.35">
      <c r="A391" s="6" t="str">
        <f>MID(C391,2,FIND(")",C391,1)-5)</f>
        <v xml:space="preserve">81.31 </v>
      </c>
      <c r="B391" t="str">
        <f>IF(ISNUMBER(FIND("[PASSED]",C391,1)),"PASSED","FAILED")</f>
        <v>PASSED</v>
      </c>
      <c r="C391" s="16" t="s">
        <v>423</v>
      </c>
      <c r="D391" s="6"/>
      <c r="G391" s="13">
        <v>81</v>
      </c>
      <c r="H391" s="13">
        <v>31</v>
      </c>
    </row>
    <row r="392" spans="1:8" ht="15" hidden="1" customHeight="1" x14ac:dyDescent="0.35">
      <c r="A392" s="6" t="str">
        <f>MID(C392,2,FIND(")",C392,1)-5)</f>
        <v xml:space="preserve">81.32 </v>
      </c>
      <c r="B392" t="str">
        <f>IF(ISNUMBER(FIND("[PASSED]",C392,1)),"PASSED","FAILED")</f>
        <v>PASSED</v>
      </c>
      <c r="C392" s="16" t="s">
        <v>222</v>
      </c>
      <c r="D392" s="6"/>
      <c r="G392" s="13">
        <v>81</v>
      </c>
      <c r="H392" s="13">
        <v>32</v>
      </c>
    </row>
    <row r="393" spans="1:8" ht="15" hidden="1" customHeight="1" x14ac:dyDescent="0.35">
      <c r="A393" s="6" t="str">
        <f>MID(C393,2,FIND(")",C393,1)-5)</f>
        <v xml:space="preserve">81.33 </v>
      </c>
      <c r="B393" t="str">
        <f>IF(ISNUMBER(FIND("[PASSED]",C393,1)),"PASSED","FAILED")</f>
        <v>PASSED</v>
      </c>
      <c r="C393" s="16" t="s">
        <v>144</v>
      </c>
      <c r="D393" s="6"/>
      <c r="G393" s="13">
        <v>81</v>
      </c>
      <c r="H393" s="13">
        <v>33</v>
      </c>
    </row>
    <row r="394" spans="1:8" ht="15" customHeight="1" x14ac:dyDescent="0.35">
      <c r="A394" s="6" t="str">
        <f>MID(C394,2,FIND(")",C394,1)-5)</f>
        <v xml:space="preserve">81.34 </v>
      </c>
      <c r="B394" t="str">
        <f>IF(ISNUMBER(FIND("[PASSED]",C394,1)),"PASSED","FAILED")</f>
        <v>FAILED</v>
      </c>
      <c r="C394" s="16" t="s">
        <v>439</v>
      </c>
      <c r="D394" s="13" t="s">
        <v>494</v>
      </c>
      <c r="E394" s="6" t="s">
        <v>333</v>
      </c>
      <c r="F394" s="6" t="s">
        <v>479</v>
      </c>
      <c r="G394" s="13">
        <v>81</v>
      </c>
      <c r="H394" s="13">
        <v>34</v>
      </c>
    </row>
    <row r="395" spans="1:8" ht="15" customHeight="1" x14ac:dyDescent="0.35">
      <c r="A395" s="6" t="str">
        <f>MID(C395,2,FIND(")",C395,1)-5)</f>
        <v xml:space="preserve">81.35 </v>
      </c>
      <c r="B395" t="str">
        <f>IF(ISNUMBER(FIND("[PASSED]",C395,1)),"PASSED","FAILED")</f>
        <v>FAILED</v>
      </c>
      <c r="C395" s="16" t="s">
        <v>342</v>
      </c>
      <c r="D395" s="13" t="s">
        <v>495</v>
      </c>
      <c r="E395" s="6" t="s">
        <v>333</v>
      </c>
      <c r="F395" s="6" t="s">
        <v>479</v>
      </c>
      <c r="G395" s="13">
        <v>81</v>
      </c>
      <c r="H395" s="13">
        <v>35</v>
      </c>
    </row>
    <row r="396" spans="1:8" ht="15" hidden="1" customHeight="1" x14ac:dyDescent="0.35">
      <c r="A396" s="6" t="str">
        <f>MID(C396,2,FIND(")",C396,1)-5)</f>
        <v xml:space="preserve">81.36 </v>
      </c>
      <c r="B396" t="str">
        <f>IF(ISNUMBER(FIND("[PASSED]",C396,1)),"PASSED","FAILED")</f>
        <v>PASSED</v>
      </c>
      <c r="C396" s="16" t="s">
        <v>350</v>
      </c>
      <c r="D396" s="6"/>
      <c r="G396" s="13">
        <v>81</v>
      </c>
      <c r="H396" s="13">
        <v>36</v>
      </c>
    </row>
    <row r="397" spans="1:8" ht="15" customHeight="1" x14ac:dyDescent="0.35">
      <c r="A397" s="6" t="str">
        <f>MID(C397,2,FIND(")",C397,1)-5)</f>
        <v xml:space="preserve">81.37 </v>
      </c>
      <c r="B397" t="str">
        <f>IF(ISNUMBER(FIND("[PASSED]",C397,1)),"PASSED","FAILED")</f>
        <v>FAILED</v>
      </c>
      <c r="C397" s="16" t="s">
        <v>418</v>
      </c>
      <c r="D397" s="13" t="s">
        <v>496</v>
      </c>
      <c r="E397" s="6" t="s">
        <v>333</v>
      </c>
      <c r="F397" s="6" t="s">
        <v>479</v>
      </c>
      <c r="G397" s="13">
        <v>81</v>
      </c>
      <c r="H397" s="13">
        <v>37</v>
      </c>
    </row>
    <row r="398" spans="1:8" ht="15" hidden="1" customHeight="1" x14ac:dyDescent="0.35">
      <c r="A398" s="6" t="str">
        <f>MID(C398,2,FIND(")",C398,1)-5)</f>
        <v xml:space="preserve">81.38 </v>
      </c>
      <c r="B398" t="str">
        <f>IF(ISNUMBER(FIND("[PASSED]",C398,1)),"PASSED","FAILED")</f>
        <v>PASSED</v>
      </c>
      <c r="C398" s="16" t="s">
        <v>127</v>
      </c>
      <c r="D398" s="6"/>
      <c r="G398" s="13">
        <v>81</v>
      </c>
      <c r="H398" s="13">
        <v>38</v>
      </c>
    </row>
    <row r="399" spans="1:8" ht="15" hidden="1" customHeight="1" x14ac:dyDescent="0.35">
      <c r="A399" s="6" t="str">
        <f>MID(C399,2,FIND(")",C399,1)-5)</f>
        <v xml:space="preserve">81.39 </v>
      </c>
      <c r="B399" t="str">
        <f>IF(ISNUMBER(FIND("[PASSED]",C399,1)),"PASSED","FAILED")</f>
        <v>PASSED</v>
      </c>
      <c r="C399" s="16" t="s">
        <v>182</v>
      </c>
      <c r="D399" s="6"/>
      <c r="G399" s="13">
        <v>81</v>
      </c>
      <c r="H399" s="13">
        <v>39</v>
      </c>
    </row>
    <row r="400" spans="1:8" ht="15" hidden="1" customHeight="1" x14ac:dyDescent="0.35">
      <c r="A400" s="6" t="str">
        <f>MID(C400,2,FIND(")",C400,1)-5)</f>
        <v xml:space="preserve">81.40 </v>
      </c>
      <c r="B400" t="str">
        <f>IF(ISNUMBER(FIND("[PASSED]",C400,1)),"PASSED","FAILED")</f>
        <v>PASSED</v>
      </c>
      <c r="C400" s="16" t="s">
        <v>211</v>
      </c>
      <c r="D400" s="6"/>
      <c r="G400" s="13">
        <v>81</v>
      </c>
      <c r="H400" s="13">
        <v>40</v>
      </c>
    </row>
    <row r="401" spans="1:8" ht="15" hidden="1" customHeight="1" x14ac:dyDescent="0.35">
      <c r="A401" s="6" t="str">
        <f>MID(C401,2,FIND(")",C401,1)-5)</f>
        <v xml:space="preserve">81.41 </v>
      </c>
      <c r="B401" t="str">
        <f>IF(ISNUMBER(FIND("[PASSED]",C401,1)),"PASSED","FAILED")</f>
        <v>PASSED</v>
      </c>
      <c r="C401" s="16" t="s">
        <v>305</v>
      </c>
      <c r="D401" s="6"/>
      <c r="G401" s="13">
        <v>81</v>
      </c>
      <c r="H401" s="13">
        <v>41</v>
      </c>
    </row>
    <row r="402" spans="1:8" ht="15" hidden="1" customHeight="1" x14ac:dyDescent="0.35">
      <c r="A402" s="6" t="str">
        <f>MID(C402,2,FIND(")",C402,1)-5)</f>
        <v xml:space="preserve">81.42 </v>
      </c>
      <c r="B402" t="str">
        <f>IF(ISNUMBER(FIND("[PASSED]",C402,1)),"PASSED","FAILED")</f>
        <v>PASSED</v>
      </c>
      <c r="C402" s="16" t="s">
        <v>291</v>
      </c>
      <c r="D402" s="6"/>
      <c r="G402" s="13">
        <v>81</v>
      </c>
      <c r="H402" s="13">
        <v>42</v>
      </c>
    </row>
    <row r="403" spans="1:8" ht="15" hidden="1" customHeight="1" x14ac:dyDescent="0.35">
      <c r="A403" s="6" t="str">
        <f>MID(C403,2,FIND(")",C403,1)-5)</f>
        <v xml:space="preserve">89.1 </v>
      </c>
      <c r="B403" t="str">
        <f>IF(ISNUMBER(FIND("[PASSED]",C403,1)),"PASSED","FAILED")</f>
        <v>PASSED</v>
      </c>
      <c r="C403" s="16" t="s">
        <v>96</v>
      </c>
      <c r="D403" s="6"/>
      <c r="G403" s="13">
        <v>89</v>
      </c>
      <c r="H403" s="13">
        <v>1</v>
      </c>
    </row>
    <row r="404" spans="1:8" ht="15" hidden="1" customHeight="1" x14ac:dyDescent="0.35">
      <c r="A404" s="6" t="str">
        <f>MID(C404,2,FIND(")",C404,1)-5)</f>
        <v xml:space="preserve">89.2 </v>
      </c>
      <c r="B404" t="str">
        <f>IF(ISNUMBER(FIND("[PASSED]",C404,1)),"PASSED","FAILED")</f>
        <v>PASSED</v>
      </c>
      <c r="C404" s="16" t="s">
        <v>208</v>
      </c>
      <c r="D404" s="6"/>
      <c r="G404" s="13">
        <v>89</v>
      </c>
      <c r="H404" s="13">
        <v>2</v>
      </c>
    </row>
    <row r="405" spans="1:8" ht="15" hidden="1" customHeight="1" x14ac:dyDescent="0.35">
      <c r="A405" s="6" t="str">
        <f>MID(C405,2,FIND(")",C405,1)-5)</f>
        <v xml:space="preserve">89.3 </v>
      </c>
      <c r="B405" t="str">
        <f>IF(ISNUMBER(FIND("[PASSED]",C405,1)),"PASSED","FAILED")</f>
        <v>PASSED</v>
      </c>
      <c r="C405" s="16" t="s">
        <v>199</v>
      </c>
      <c r="D405" s="6"/>
      <c r="G405" s="13">
        <v>89</v>
      </c>
      <c r="H405" s="13">
        <v>3</v>
      </c>
    </row>
    <row r="406" spans="1:8" ht="15" hidden="1" customHeight="1" x14ac:dyDescent="0.35">
      <c r="A406" s="6" t="str">
        <f>MID(C406,2,FIND(")",C406,1)-5)</f>
        <v xml:space="preserve">89.4 </v>
      </c>
      <c r="B406" t="str">
        <f>IF(ISNUMBER(FIND("[PASSED]",C406,1)),"PASSED","FAILED")</f>
        <v>PASSED</v>
      </c>
      <c r="C406" s="16" t="s">
        <v>131</v>
      </c>
      <c r="D406" s="6"/>
      <c r="G406" s="13">
        <v>89</v>
      </c>
      <c r="H406" s="13">
        <v>4</v>
      </c>
    </row>
    <row r="407" spans="1:8" ht="15" hidden="1" customHeight="1" x14ac:dyDescent="0.35">
      <c r="A407" s="6" t="str">
        <f>MID(C407,2,FIND(")",C407,1)-5)</f>
        <v xml:space="preserve">89.5 </v>
      </c>
      <c r="B407" t="str">
        <f>IF(ISNUMBER(FIND("[PASSED]",C407,1)),"PASSED","FAILED")</f>
        <v>PASSED</v>
      </c>
      <c r="C407" s="16" t="s">
        <v>296</v>
      </c>
      <c r="D407" s="6"/>
      <c r="G407" s="13">
        <v>89</v>
      </c>
      <c r="H407" s="13">
        <v>5</v>
      </c>
    </row>
    <row r="408" spans="1:8" ht="15" hidden="1" customHeight="1" x14ac:dyDescent="0.35">
      <c r="A408" s="6" t="str">
        <f>MID(C408,2,FIND(")",C408,1)-5)</f>
        <v xml:space="preserve">89.6 </v>
      </c>
      <c r="B408" t="str">
        <f>IF(ISNUMBER(FIND("[PASSED]",C408,1)),"PASSED","FAILED")</f>
        <v>PASSED</v>
      </c>
      <c r="C408" s="16" t="s">
        <v>12</v>
      </c>
      <c r="D408" s="6"/>
      <c r="G408" s="13">
        <v>89</v>
      </c>
      <c r="H408" s="13">
        <v>6</v>
      </c>
    </row>
    <row r="409" spans="1:8" ht="15" hidden="1" customHeight="1" x14ac:dyDescent="0.35">
      <c r="A409" s="6" t="str">
        <f>MID(C409,2,FIND(")",C409,1)-5)</f>
        <v xml:space="preserve">89.7 </v>
      </c>
      <c r="B409" t="str">
        <f>IF(ISNUMBER(FIND("[PASSED]",C409,1)),"PASSED","FAILED")</f>
        <v>PASSED</v>
      </c>
      <c r="C409" s="16" t="s">
        <v>116</v>
      </c>
      <c r="D409" s="6"/>
      <c r="G409" s="13">
        <v>89</v>
      </c>
      <c r="H409" s="13">
        <v>7</v>
      </c>
    </row>
    <row r="410" spans="1:8" ht="15" hidden="1" customHeight="1" x14ac:dyDescent="0.35">
      <c r="A410" s="6" t="str">
        <f>MID(C410,2,FIND(")",C410,1)-5)</f>
        <v xml:space="preserve">89.8 </v>
      </c>
      <c r="B410" t="str">
        <f>IF(ISNUMBER(FIND("[PASSED]",C410,1)),"PASSED","FAILED")</f>
        <v>PASSED</v>
      </c>
      <c r="C410" s="16" t="s">
        <v>287</v>
      </c>
      <c r="G410" s="13">
        <v>89</v>
      </c>
      <c r="H410" s="13">
        <v>8</v>
      </c>
    </row>
    <row r="411" spans="1:8" ht="15" hidden="1" customHeight="1" x14ac:dyDescent="0.35">
      <c r="A411" s="6" t="str">
        <f>MID(C411,2,FIND(")",C411,1)-5)</f>
        <v xml:space="preserve">89.9 </v>
      </c>
      <c r="B411" t="str">
        <f>IF(ISNUMBER(FIND("[PASSED]",C411,1)),"PASSED","FAILED")</f>
        <v>PASSED</v>
      </c>
      <c r="C411" s="16" t="s">
        <v>217</v>
      </c>
      <c r="D411" s="6"/>
      <c r="G411" s="13">
        <v>89</v>
      </c>
      <c r="H411" s="13">
        <v>9</v>
      </c>
    </row>
    <row r="412" spans="1:8" ht="15" hidden="1" customHeight="1" x14ac:dyDescent="0.35">
      <c r="A412" s="6" t="str">
        <f>MID(C412,2,FIND(")",C412,1)-5)</f>
        <v xml:space="preserve">89.10 </v>
      </c>
      <c r="B412" t="str">
        <f>IF(ISNUMBER(FIND("[PASSED]",C412,1)),"PASSED","FAILED")</f>
        <v>PASSED</v>
      </c>
      <c r="C412" s="16" t="s">
        <v>57</v>
      </c>
      <c r="D412" s="6"/>
      <c r="G412" s="13">
        <v>89</v>
      </c>
      <c r="H412" s="13">
        <v>10</v>
      </c>
    </row>
    <row r="413" spans="1:8" ht="15" hidden="1" customHeight="1" x14ac:dyDescent="0.35">
      <c r="A413" s="6" t="str">
        <f>MID(C413,2,FIND(")",C413,1)-5)</f>
        <v xml:space="preserve">89.11 </v>
      </c>
      <c r="B413" t="str">
        <f>IF(ISNUMBER(FIND("[PASSED]",C413,1)),"PASSED","FAILED")</f>
        <v>PASSED</v>
      </c>
      <c r="C413" s="16" t="s">
        <v>29</v>
      </c>
      <c r="D413" s="6"/>
      <c r="G413" s="13">
        <v>89</v>
      </c>
      <c r="H413" s="13">
        <v>11</v>
      </c>
    </row>
    <row r="414" spans="1:8" ht="15" hidden="1" customHeight="1" x14ac:dyDescent="0.35">
      <c r="A414" s="6" t="str">
        <f>MID(C414,2,FIND(")",C414,1)-5)</f>
        <v xml:space="preserve">89.12 </v>
      </c>
      <c r="B414" t="str">
        <f>IF(ISNUMBER(FIND("[PASSED]",C414,1)),"PASSED","FAILED")</f>
        <v>PASSED</v>
      </c>
      <c r="C414" s="16" t="s">
        <v>177</v>
      </c>
      <c r="D414" s="6"/>
      <c r="G414" s="13">
        <v>89</v>
      </c>
      <c r="H414" s="13">
        <v>12</v>
      </c>
    </row>
    <row r="415" spans="1:8" ht="15" hidden="1" customHeight="1" x14ac:dyDescent="0.35">
      <c r="A415" s="6" t="str">
        <f>MID(C415,2,FIND(")",C415,1)-5)</f>
        <v xml:space="preserve">89.13 </v>
      </c>
      <c r="B415" t="str">
        <f>IF(ISNUMBER(FIND("[PASSED]",C415,1)),"PASSED","FAILED")</f>
        <v>PASSED</v>
      </c>
      <c r="C415" s="16" t="s">
        <v>174</v>
      </c>
      <c r="D415" s="6"/>
      <c r="G415" s="13">
        <v>89</v>
      </c>
      <c r="H415" s="13">
        <v>13</v>
      </c>
    </row>
    <row r="416" spans="1:8" ht="15" hidden="1" customHeight="1" x14ac:dyDescent="0.35">
      <c r="A416" s="6" t="str">
        <f>MID(C416,2,FIND(")",C416,1)-5)</f>
        <v xml:space="preserve">89.14 </v>
      </c>
      <c r="B416" t="str">
        <f>IF(ISNUMBER(FIND("[PASSED]",C416,1)),"PASSED","FAILED")</f>
        <v>PASSED</v>
      </c>
      <c r="C416" s="16" t="s">
        <v>41</v>
      </c>
      <c r="D416" s="6"/>
      <c r="G416" s="13">
        <v>89</v>
      </c>
      <c r="H416" s="13">
        <v>14</v>
      </c>
    </row>
    <row r="417" spans="1:8" ht="15" hidden="1" customHeight="1" x14ac:dyDescent="0.35">
      <c r="A417" s="6" t="str">
        <f>MID(C417,2,FIND(")",C417,1)-5)</f>
        <v xml:space="preserve">89.15 </v>
      </c>
      <c r="B417" t="str">
        <f>IF(ISNUMBER(FIND("[PASSED]",C417,1)),"PASSED","FAILED")</f>
        <v>PASSED</v>
      </c>
      <c r="C417" s="16" t="s">
        <v>386</v>
      </c>
      <c r="D417" s="6"/>
      <c r="G417" s="13">
        <v>89</v>
      </c>
      <c r="H417" s="13">
        <v>15</v>
      </c>
    </row>
    <row r="418" spans="1:8" ht="15" hidden="1" customHeight="1" x14ac:dyDescent="0.35">
      <c r="A418" s="6" t="str">
        <f>MID(C418,2,FIND(")",C418,1)-5)</f>
        <v xml:space="preserve">89.16 </v>
      </c>
      <c r="B418" t="str">
        <f>IF(ISNUMBER(FIND("[PASSED]",C418,1)),"PASSED","FAILED")</f>
        <v>PASSED</v>
      </c>
      <c r="C418" s="16" t="s">
        <v>444</v>
      </c>
      <c r="D418" s="6"/>
      <c r="G418" s="13">
        <v>89</v>
      </c>
      <c r="H418" s="13">
        <v>16</v>
      </c>
    </row>
    <row r="419" spans="1:8" ht="15" hidden="1" customHeight="1" x14ac:dyDescent="0.35">
      <c r="A419" s="6" t="str">
        <f>MID(C419,2,FIND(")",C419,1)-5)</f>
        <v xml:space="preserve">89.17 </v>
      </c>
      <c r="B419" t="str">
        <f>IF(ISNUMBER(FIND("[PASSED]",C419,1)),"PASSED","FAILED")</f>
        <v>PASSED</v>
      </c>
      <c r="C419" s="16" t="s">
        <v>71</v>
      </c>
      <c r="G419" s="13">
        <v>89</v>
      </c>
      <c r="H419" s="13">
        <v>17</v>
      </c>
    </row>
    <row r="420" spans="1:8" ht="15" hidden="1" customHeight="1" x14ac:dyDescent="0.35">
      <c r="A420" s="6" t="str">
        <f>MID(C420,2,FIND(")",C420,1)-5)</f>
        <v xml:space="preserve">89.18 </v>
      </c>
      <c r="B420" t="str">
        <f>IF(ISNUMBER(FIND("[PASSED]",C420,1)),"PASSED","FAILED")</f>
        <v>PASSED</v>
      </c>
      <c r="C420" s="16" t="s">
        <v>148</v>
      </c>
      <c r="D420" s="6"/>
      <c r="G420" s="13">
        <v>89</v>
      </c>
      <c r="H420" s="13">
        <v>18</v>
      </c>
    </row>
    <row r="421" spans="1:8" ht="15" hidden="1" customHeight="1" x14ac:dyDescent="0.35">
      <c r="A421" s="6" t="str">
        <f>MID(C421,2,FIND(")",C421,1)-5)</f>
        <v xml:space="preserve">89.19 </v>
      </c>
      <c r="B421" t="str">
        <f>IF(ISNUMBER(FIND("[PASSED]",C421,1)),"PASSED","FAILED")</f>
        <v>PASSED</v>
      </c>
      <c r="C421" s="16" t="s">
        <v>225</v>
      </c>
      <c r="D421" s="6"/>
      <c r="G421" s="13">
        <v>89</v>
      </c>
      <c r="H421" s="13">
        <v>19</v>
      </c>
    </row>
    <row r="422" spans="1:8" ht="15" hidden="1" customHeight="1" x14ac:dyDescent="0.35">
      <c r="A422" s="6" t="str">
        <f>MID(C422,2,FIND(")",C422,1)-5)</f>
        <v xml:space="preserve">89.20 </v>
      </c>
      <c r="B422" t="str">
        <f>IF(ISNUMBER(FIND("[PASSED]",C422,1)),"PASSED","FAILED")</f>
        <v>PASSED</v>
      </c>
      <c r="C422" s="16" t="s">
        <v>220</v>
      </c>
      <c r="D422" s="6"/>
      <c r="G422" s="13">
        <v>89</v>
      </c>
      <c r="H422" s="13">
        <v>20</v>
      </c>
    </row>
    <row r="423" spans="1:8" ht="15" hidden="1" customHeight="1" x14ac:dyDescent="0.35">
      <c r="A423" s="6" t="str">
        <f>MID(C423,2,FIND(")",C423,1)-5)</f>
        <v xml:space="preserve">89.21 </v>
      </c>
      <c r="B423" t="str">
        <f>IF(ISNUMBER(FIND("[PASSED]",C423,1)),"PASSED","FAILED")</f>
        <v>PASSED</v>
      </c>
      <c r="C423" s="16" t="s">
        <v>262</v>
      </c>
      <c r="D423" s="6"/>
      <c r="G423" s="13">
        <v>89</v>
      </c>
      <c r="H423" s="13">
        <v>21</v>
      </c>
    </row>
    <row r="424" spans="1:8" ht="15" hidden="1" customHeight="1" x14ac:dyDescent="0.35">
      <c r="A424" s="6" t="str">
        <f>MID(C424,2,FIND(")",C424,1)-5)</f>
        <v xml:space="preserve">89.22 </v>
      </c>
      <c r="B424" t="str">
        <f>IF(ISNUMBER(FIND("[PASSED]",C424,1)),"PASSED","FAILED")</f>
        <v>PASSED</v>
      </c>
      <c r="C424" s="16" t="s">
        <v>221</v>
      </c>
      <c r="D424" s="6"/>
      <c r="G424" s="13">
        <v>89</v>
      </c>
      <c r="H424" s="13">
        <v>22</v>
      </c>
    </row>
    <row r="425" spans="1:8" ht="15" hidden="1" customHeight="1" x14ac:dyDescent="0.35">
      <c r="A425" s="6" t="str">
        <f>MID(C425,2,FIND(")",C425,1)-5)</f>
        <v xml:space="preserve">89.23 </v>
      </c>
      <c r="B425" t="str">
        <f>IF(ISNUMBER(FIND("[PASSED]",C425,1)),"PASSED","FAILED")</f>
        <v>PASSED</v>
      </c>
      <c r="C425" s="16" t="s">
        <v>189</v>
      </c>
      <c r="D425" s="6"/>
      <c r="G425" s="13">
        <v>89</v>
      </c>
      <c r="H425" s="13">
        <v>23</v>
      </c>
    </row>
    <row r="426" spans="1:8" ht="15" hidden="1" customHeight="1" x14ac:dyDescent="0.35">
      <c r="A426" s="6" t="str">
        <f>MID(C426,2,FIND(")",C426,1)-5)</f>
        <v xml:space="preserve">89.24 </v>
      </c>
      <c r="B426" t="str">
        <f>IF(ISNUMBER(FIND("[PASSED]",C426,1)),"PASSED","FAILED")</f>
        <v>PASSED</v>
      </c>
      <c r="C426" s="16" t="s">
        <v>506</v>
      </c>
      <c r="D426" s="6"/>
      <c r="G426" s="13">
        <v>89</v>
      </c>
      <c r="H426" s="13">
        <v>24</v>
      </c>
    </row>
    <row r="427" spans="1:8" ht="15" hidden="1" customHeight="1" x14ac:dyDescent="0.35">
      <c r="A427" s="6" t="str">
        <f>MID(C427,2,FIND(")",C427,1)-5)</f>
        <v xml:space="preserve">89.25 </v>
      </c>
      <c r="B427" t="str">
        <f>IF(ISNUMBER(FIND("[PASSED]",C427,1)),"PASSED","FAILED")</f>
        <v>PASSED</v>
      </c>
      <c r="C427" s="16" t="s">
        <v>283</v>
      </c>
      <c r="D427" s="6"/>
      <c r="G427" s="13">
        <v>89</v>
      </c>
      <c r="H427" s="13">
        <v>25</v>
      </c>
    </row>
    <row r="428" spans="1:8" ht="15" hidden="1" customHeight="1" x14ac:dyDescent="0.35">
      <c r="A428" s="6" t="str">
        <f>MID(C428,2,FIND(")",C428,1)-5)</f>
        <v xml:space="preserve">89.26 </v>
      </c>
      <c r="B428" t="str">
        <f>IF(ISNUMBER(FIND("[PASSED]",C428,1)),"PASSED","FAILED")</f>
        <v>PASSED</v>
      </c>
      <c r="C428" s="16" t="s">
        <v>319</v>
      </c>
      <c r="D428" s="6"/>
      <c r="G428" s="13">
        <v>89</v>
      </c>
      <c r="H428" s="13">
        <v>26</v>
      </c>
    </row>
    <row r="429" spans="1:8" ht="15" hidden="1" customHeight="1" x14ac:dyDescent="0.35">
      <c r="A429" s="6" t="str">
        <f>MID(C429,2,FIND(")",C429,1)-5)</f>
        <v xml:space="preserve">89.27 </v>
      </c>
      <c r="B429" t="str">
        <f>IF(ISNUMBER(FIND("[PASSED]",C429,1)),"PASSED","FAILED")</f>
        <v>PASSED</v>
      </c>
      <c r="C429" s="16" t="s">
        <v>48</v>
      </c>
      <c r="D429" s="6"/>
      <c r="G429" s="13">
        <v>89</v>
      </c>
      <c r="H429" s="13">
        <v>27</v>
      </c>
    </row>
    <row r="430" spans="1:8" ht="15" hidden="1" customHeight="1" x14ac:dyDescent="0.35">
      <c r="A430" s="6" t="str">
        <f>MID(C430,2,FIND(")",C430,1)-5)</f>
        <v xml:space="preserve">89.28 </v>
      </c>
      <c r="B430" t="str">
        <f>IF(ISNUMBER(FIND("[PASSED]",C430,1)),"PASSED","FAILED")</f>
        <v>PASSED</v>
      </c>
      <c r="C430" s="16" t="s">
        <v>8</v>
      </c>
      <c r="D430" s="6"/>
      <c r="G430" s="13">
        <v>89</v>
      </c>
      <c r="H430" s="13">
        <v>28</v>
      </c>
    </row>
    <row r="431" spans="1:8" ht="15" hidden="1" customHeight="1" x14ac:dyDescent="0.35">
      <c r="A431" s="6" t="str">
        <f>MID(C431,2,FIND(")",C431,1)-5)</f>
        <v xml:space="preserve">89.29 </v>
      </c>
      <c r="B431" t="str">
        <f>IF(ISNUMBER(FIND("[PASSED]",C431,1)),"PASSED","FAILED")</f>
        <v>PASSED</v>
      </c>
      <c r="C431" s="16" t="s">
        <v>274</v>
      </c>
      <c r="D431" s="6"/>
      <c r="G431" s="13">
        <v>89</v>
      </c>
      <c r="H431" s="13">
        <v>29</v>
      </c>
    </row>
    <row r="432" spans="1:8" ht="15" hidden="1" customHeight="1" x14ac:dyDescent="0.35">
      <c r="A432" s="6" t="str">
        <f>MID(C432,2,FIND(")",C432,1)-5)</f>
        <v xml:space="preserve">89.30 </v>
      </c>
      <c r="B432" t="str">
        <f>IF(ISNUMBER(FIND("[PASSED]",C432,1)),"PASSED","FAILED")</f>
        <v>PASSED</v>
      </c>
      <c r="C432" s="16" t="s">
        <v>322</v>
      </c>
      <c r="D432" s="6"/>
      <c r="G432" s="13">
        <v>89</v>
      </c>
      <c r="H432" s="13">
        <v>30</v>
      </c>
    </row>
    <row r="433" spans="1:8" ht="15" hidden="1" customHeight="1" x14ac:dyDescent="0.35">
      <c r="A433" s="6" t="str">
        <f>MID(C433,2,FIND(")",C433,1)-5)</f>
        <v xml:space="preserve">89.31 </v>
      </c>
      <c r="B433" t="str">
        <f>IF(ISNUMBER(FIND("[PASSED]",C433,1)),"PASSED","FAILED")</f>
        <v>PASSED</v>
      </c>
      <c r="C433" s="16" t="s">
        <v>138</v>
      </c>
      <c r="D433" s="6"/>
      <c r="G433" s="13">
        <v>89</v>
      </c>
      <c r="H433" s="13">
        <v>31</v>
      </c>
    </row>
    <row r="434" spans="1:8" ht="15" hidden="1" customHeight="1" x14ac:dyDescent="0.35">
      <c r="A434" s="6" t="str">
        <f>MID(C434,2,FIND(")",C434,1)-5)</f>
        <v xml:space="preserve">89.32 </v>
      </c>
      <c r="B434" t="str">
        <f>IF(ISNUMBER(FIND("[PASSED]",C434,1)),"PASSED","FAILED")</f>
        <v>PASSED</v>
      </c>
      <c r="C434" s="16" t="s">
        <v>188</v>
      </c>
      <c r="D434" s="6"/>
      <c r="G434" s="13">
        <v>89</v>
      </c>
      <c r="H434" s="13">
        <v>32</v>
      </c>
    </row>
    <row r="435" spans="1:8" ht="15" hidden="1" customHeight="1" x14ac:dyDescent="0.35">
      <c r="A435" s="6" t="str">
        <f>MID(C435,2,FIND(")",C435,1)-5)</f>
        <v xml:space="preserve">89.33 </v>
      </c>
      <c r="B435" t="str">
        <f>IF(ISNUMBER(FIND("[PASSED]",C435,1)),"PASSED","FAILED")</f>
        <v>PASSED</v>
      </c>
      <c r="C435" s="16" t="s">
        <v>255</v>
      </c>
      <c r="D435" s="6"/>
      <c r="G435" s="13">
        <v>89</v>
      </c>
      <c r="H435" s="13">
        <v>33</v>
      </c>
    </row>
    <row r="436" spans="1:8" ht="15" hidden="1" customHeight="1" x14ac:dyDescent="0.35">
      <c r="A436" s="6" t="str">
        <f>MID(C436,2,FIND(")",C436,1)-5)</f>
        <v xml:space="preserve">89.34 </v>
      </c>
      <c r="B436" t="str">
        <f>IF(ISNUMBER(FIND("[PASSED]",C436,1)),"PASSED","FAILED")</f>
        <v>PASSED</v>
      </c>
      <c r="C436" s="16" t="s">
        <v>367</v>
      </c>
      <c r="D436" s="6"/>
      <c r="G436" s="13">
        <v>89</v>
      </c>
      <c r="H436" s="13">
        <v>34</v>
      </c>
    </row>
    <row r="437" spans="1:8" ht="15" hidden="1" customHeight="1" x14ac:dyDescent="0.35">
      <c r="A437" s="6" t="str">
        <f>MID(C437,2,FIND(")",C437,1)-5)</f>
        <v xml:space="preserve">89.35 </v>
      </c>
      <c r="B437" t="str">
        <f>IF(ISNUMBER(FIND("[PASSED]",C437,1)),"PASSED","FAILED")</f>
        <v>PASSED</v>
      </c>
      <c r="C437" s="16" t="s">
        <v>91</v>
      </c>
      <c r="D437" s="6"/>
      <c r="G437" s="13">
        <v>89</v>
      </c>
      <c r="H437" s="13">
        <v>35</v>
      </c>
    </row>
    <row r="438" spans="1:8" ht="15" hidden="1" customHeight="1" x14ac:dyDescent="0.35">
      <c r="A438" s="6" t="str">
        <f>MID(C438,2,FIND(")",C438,1)-5)</f>
        <v xml:space="preserve">90.1 </v>
      </c>
      <c r="B438" t="str">
        <f>IF(ISNUMBER(FIND("[PASSED]",C438,1)),"PASSED","FAILED")</f>
        <v>PASSED</v>
      </c>
      <c r="C438" s="16" t="s">
        <v>40</v>
      </c>
      <c r="D438" s="6"/>
      <c r="G438" s="13">
        <v>90</v>
      </c>
      <c r="H438" s="13">
        <v>1</v>
      </c>
    </row>
    <row r="439" spans="1:8" ht="15" hidden="1" customHeight="1" x14ac:dyDescent="0.35">
      <c r="A439" s="6" t="str">
        <f>MID(C439,2,FIND(")",C439,1)-5)</f>
        <v xml:space="preserve">90.2 </v>
      </c>
      <c r="B439" t="str">
        <f>IF(ISNUMBER(FIND("[PASSED]",C439,1)),"PASSED","FAILED")</f>
        <v>PASSED</v>
      </c>
      <c r="C439" s="16" t="s">
        <v>51</v>
      </c>
      <c r="D439" s="6"/>
      <c r="G439" s="13">
        <v>90</v>
      </c>
      <c r="H439" s="13">
        <v>2</v>
      </c>
    </row>
    <row r="440" spans="1:8" ht="15" hidden="1" customHeight="1" x14ac:dyDescent="0.35">
      <c r="A440" s="6" t="str">
        <f>MID(C440,2,FIND(")",C440,1)-5)</f>
        <v xml:space="preserve">93.1 </v>
      </c>
      <c r="B440" t="str">
        <f>IF(ISNUMBER(FIND("[PASSED]",C440,1)),"PASSED","FAILED")</f>
        <v>PASSED</v>
      </c>
      <c r="C440" s="16" t="s">
        <v>184</v>
      </c>
      <c r="D440" s="6"/>
      <c r="G440" s="13">
        <v>93</v>
      </c>
      <c r="H440" s="13">
        <v>1</v>
      </c>
    </row>
    <row r="441" spans="1:8" ht="15" hidden="1" customHeight="1" x14ac:dyDescent="0.35">
      <c r="A441" s="6" t="str">
        <f>MID(C441,2,FIND(")",C441,1)-5)</f>
        <v xml:space="preserve">94.1 </v>
      </c>
      <c r="B441" t="str">
        <f>IF(ISNUMBER(FIND("[PASSED]",C441,1)),"PASSED","FAILED")</f>
        <v>PASSED</v>
      </c>
      <c r="C441" s="16" t="s">
        <v>317</v>
      </c>
      <c r="D441" s="6"/>
      <c r="G441" s="13">
        <v>94</v>
      </c>
      <c r="H441" s="13">
        <v>1</v>
      </c>
    </row>
    <row r="442" spans="1:8" ht="15" hidden="1" customHeight="1" x14ac:dyDescent="0.35">
      <c r="A442" s="6" t="str">
        <f>MID(C442,2,FIND(")",C442,1)-5)</f>
        <v xml:space="preserve">96.1 </v>
      </c>
      <c r="B442" t="str">
        <f>IF(ISNUMBER(FIND("[PASSED]",C442,1)),"PASSED","FAILED")</f>
        <v>PASSED</v>
      </c>
      <c r="C442" s="16" t="s">
        <v>248</v>
      </c>
      <c r="D442" s="6"/>
      <c r="G442" s="13">
        <v>96</v>
      </c>
      <c r="H442" s="13">
        <v>1</v>
      </c>
    </row>
    <row r="443" spans="1:8" ht="15" hidden="1" customHeight="1" x14ac:dyDescent="0.35">
      <c r="A443" s="6" t="str">
        <f>MID(C443,2,FIND(")",C443,1)-5)</f>
        <v xml:space="preserve">97.1 </v>
      </c>
      <c r="B443" t="str">
        <f>IF(ISNUMBER(FIND("[PASSED]",C443,1)),"PASSED","FAILED")</f>
        <v>PASSED</v>
      </c>
      <c r="C443" s="16" t="s">
        <v>250</v>
      </c>
      <c r="D443" s="6"/>
      <c r="G443" s="13">
        <v>97</v>
      </c>
      <c r="H443" s="13">
        <v>1</v>
      </c>
    </row>
    <row r="444" spans="1:8" ht="15" hidden="1" customHeight="1" x14ac:dyDescent="0.35">
      <c r="A444" s="6" t="str">
        <f>MID(C444,2,FIND(")",C444,1)-5)</f>
        <v xml:space="preserve">97.2 </v>
      </c>
      <c r="B444" t="str">
        <f>IF(ISNUMBER(FIND("[PASSED]",C444,1)),"PASSED","FAILED")</f>
        <v>PASSED</v>
      </c>
      <c r="C444" s="16" t="s">
        <v>76</v>
      </c>
      <c r="D444" s="6"/>
      <c r="G444" s="13">
        <v>97</v>
      </c>
      <c r="H444" s="13">
        <v>2</v>
      </c>
    </row>
    <row r="445" spans="1:8" ht="15" hidden="1" customHeight="1" x14ac:dyDescent="0.35">
      <c r="A445" s="6" t="str">
        <f>MID(C445,2,FIND(")",C445,1)-5)</f>
        <v xml:space="preserve">97.3 </v>
      </c>
      <c r="B445" t="str">
        <f>IF(ISNUMBER(FIND("[PASSED]",C445,1)),"PASSED","FAILED")</f>
        <v>PASSED</v>
      </c>
      <c r="C445" s="16" t="s">
        <v>133</v>
      </c>
      <c r="D445" s="6"/>
      <c r="G445" s="13">
        <v>97</v>
      </c>
      <c r="H445" s="13">
        <v>3</v>
      </c>
    </row>
    <row r="446" spans="1:8" ht="15" hidden="1" customHeight="1" x14ac:dyDescent="0.35">
      <c r="A446" s="6" t="str">
        <f>MID(C446,2,FIND(")",C446,1)-5)</f>
        <v xml:space="preserve">97.4 </v>
      </c>
      <c r="B446" t="str">
        <f>IF(ISNUMBER(FIND("[PASSED]",C446,1)),"PASSED","FAILED")</f>
        <v>PASSED</v>
      </c>
      <c r="C446" s="16" t="s">
        <v>166</v>
      </c>
      <c r="D446" s="6"/>
      <c r="G446" s="13">
        <v>97</v>
      </c>
      <c r="H446" s="13">
        <v>4</v>
      </c>
    </row>
    <row r="447" spans="1:8" ht="15" hidden="1" customHeight="1" x14ac:dyDescent="0.35">
      <c r="A447" s="6" t="str">
        <f>MID(C447,2,FIND(")",C447,1)-5)</f>
        <v xml:space="preserve">98.1 </v>
      </c>
      <c r="B447" t="str">
        <f>IF(ISNUMBER(FIND("[PASSED]",C447,1)),"PASSED","FAILED")</f>
        <v>PASSED</v>
      </c>
      <c r="C447" s="16" t="s">
        <v>458</v>
      </c>
      <c r="D447" s="6"/>
      <c r="G447" s="13">
        <v>98</v>
      </c>
      <c r="H447" s="13">
        <v>1</v>
      </c>
    </row>
    <row r="448" spans="1:8" ht="15" hidden="1" customHeight="1" x14ac:dyDescent="0.35">
      <c r="A448" s="6" t="str">
        <f>MID(C448,2,FIND(")",C448,1)-5)</f>
        <v xml:space="preserve">98.2 </v>
      </c>
      <c r="B448" t="str">
        <f>IF(ISNUMBER(FIND("[PASSED]",C448,1)),"PASSED","FAILED")</f>
        <v>PASSED</v>
      </c>
      <c r="C448" s="16" t="s">
        <v>307</v>
      </c>
      <c r="D448" s="6"/>
      <c r="G448" s="13">
        <v>98</v>
      </c>
      <c r="H448" s="13">
        <v>2</v>
      </c>
    </row>
    <row r="449" spans="1:8" ht="15" hidden="1" customHeight="1" x14ac:dyDescent="0.35">
      <c r="A449" s="6" t="str">
        <f>MID(C449,2,FIND(")",C449,1)-5)</f>
        <v xml:space="preserve">101.1 </v>
      </c>
      <c r="B449" t="str">
        <f>IF(ISNUMBER(FIND("[PASSED]",C449,1)),"PASSED","FAILED")</f>
        <v>PASSED</v>
      </c>
      <c r="C449" s="16" t="s">
        <v>213</v>
      </c>
      <c r="D449" s="6"/>
      <c r="G449" s="13">
        <v>101</v>
      </c>
      <c r="H449" s="13">
        <v>1</v>
      </c>
    </row>
    <row r="450" spans="1:8" ht="15" hidden="1" customHeight="1" x14ac:dyDescent="0.35">
      <c r="A450" s="6" t="str">
        <f>MID(C450,2,FIND(")",C450,1)-5)</f>
        <v xml:space="preserve">101.2 </v>
      </c>
      <c r="B450" t="str">
        <f>IF(ISNUMBER(FIND("[PASSED]",C450,1)),"PASSED","FAILED")</f>
        <v>PASSED</v>
      </c>
      <c r="C450" s="16" t="s">
        <v>64</v>
      </c>
      <c r="D450" s="6"/>
      <c r="G450" s="13">
        <v>101</v>
      </c>
      <c r="H450" s="13">
        <v>2</v>
      </c>
    </row>
    <row r="451" spans="1:8" ht="15" customHeight="1" x14ac:dyDescent="0.35">
      <c r="A451" s="6" t="str">
        <f>MID(C451,2,FIND(")",C451,1)-5)</f>
        <v xml:space="preserve">103.1 </v>
      </c>
      <c r="B451" t="str">
        <f>IF(ISNUMBER(FIND("[PASSED]",C451,1)),"PASSED","FAILED")</f>
        <v>FAILED</v>
      </c>
      <c r="C451" s="16" t="s">
        <v>246</v>
      </c>
      <c r="D451" s="13" t="s">
        <v>335</v>
      </c>
      <c r="F451" s="6" t="s">
        <v>479</v>
      </c>
      <c r="G451" s="13">
        <v>103</v>
      </c>
      <c r="H451" s="13">
        <v>1</v>
      </c>
    </row>
    <row r="452" spans="1:8" ht="15" hidden="1" customHeight="1" x14ac:dyDescent="0.35">
      <c r="A452" s="6" t="str">
        <f>MID(C452,2,FIND(")",C452,1)-5)</f>
        <v xml:space="preserve">103.2 </v>
      </c>
      <c r="B452" t="str">
        <f>IF(ISNUMBER(FIND("[PASSED]",C452,1)),"PASSED","FAILED")</f>
        <v>PASSED</v>
      </c>
      <c r="C452" s="16" t="s">
        <v>228</v>
      </c>
      <c r="D452" s="6"/>
      <c r="G452" s="13">
        <v>103</v>
      </c>
      <c r="H452" s="13">
        <v>2</v>
      </c>
    </row>
    <row r="453" spans="1:8" ht="15" hidden="1" customHeight="1" x14ac:dyDescent="0.35">
      <c r="A453" s="6" t="str">
        <f>MID(C453,2,FIND(")",C453,1)-5)</f>
        <v xml:space="preserve">103.3 </v>
      </c>
      <c r="B453" t="str">
        <f>IF(ISNUMBER(FIND("[PASSED]",C453,1)),"PASSED","FAILED")</f>
        <v>PASSED</v>
      </c>
      <c r="C453" s="16" t="s">
        <v>79</v>
      </c>
      <c r="D453" s="6"/>
      <c r="G453" s="13">
        <v>103</v>
      </c>
      <c r="H453" s="13">
        <v>3</v>
      </c>
    </row>
    <row r="454" spans="1:8" ht="15" hidden="1" customHeight="1" x14ac:dyDescent="0.35">
      <c r="A454" s="6" t="str">
        <f>MID(C454,2,FIND(")",C454,1)-5)</f>
        <v xml:space="preserve">103.4 </v>
      </c>
      <c r="B454" t="str">
        <f>IF(ISNUMBER(FIND("[PASSED]",C454,1)),"PASSED","FAILED")</f>
        <v>PASSED</v>
      </c>
      <c r="C454" s="16" t="s">
        <v>277</v>
      </c>
      <c r="D454" s="6"/>
      <c r="G454" s="13">
        <v>103</v>
      </c>
      <c r="H454" s="13">
        <v>4</v>
      </c>
    </row>
    <row r="455" spans="1:8" ht="15" hidden="1" customHeight="1" x14ac:dyDescent="0.35">
      <c r="A455" s="6" t="str">
        <f>MID(C455,2,FIND(")",C455,1)-5)</f>
        <v xml:space="preserve">103.5 </v>
      </c>
      <c r="B455" t="str">
        <f>IF(ISNUMBER(FIND("[PASSED]",C455,1)),"PASSED","FAILED")</f>
        <v>PASSED</v>
      </c>
      <c r="C455" s="16" t="s">
        <v>270</v>
      </c>
      <c r="D455" s="6"/>
      <c r="G455" s="13">
        <v>103</v>
      </c>
      <c r="H455" s="13">
        <v>5</v>
      </c>
    </row>
    <row r="456" spans="1:8" ht="15" hidden="1" customHeight="1" x14ac:dyDescent="0.35">
      <c r="A456" s="6" t="str">
        <f>MID(C456,2,FIND(")",C456,1)-5)</f>
        <v xml:space="preserve">103.6 </v>
      </c>
      <c r="B456" t="str">
        <f>IF(ISNUMBER(FIND("[PASSED]",C456,1)),"PASSED","FAILED")</f>
        <v>PASSED</v>
      </c>
      <c r="C456" s="16" t="s">
        <v>304</v>
      </c>
      <c r="D456" s="6"/>
      <c r="G456" s="13">
        <v>103</v>
      </c>
      <c r="H456" s="13">
        <v>6</v>
      </c>
    </row>
    <row r="457" spans="1:8" ht="15" hidden="1" customHeight="1" x14ac:dyDescent="0.35">
      <c r="A457" s="6" t="str">
        <f>MID(C457,2,FIND(")",C457,1)-5)</f>
        <v xml:space="preserve">104.1 </v>
      </c>
      <c r="B457" t="str">
        <f>IF(ISNUMBER(FIND("[PASSED]",C457,1)),"PASSED","FAILED")</f>
        <v>PASSED</v>
      </c>
      <c r="C457" s="16" t="s">
        <v>107</v>
      </c>
      <c r="D457" s="6"/>
      <c r="G457" s="13">
        <v>104</v>
      </c>
      <c r="H457" s="13">
        <v>1</v>
      </c>
    </row>
    <row r="458" spans="1:8" ht="15" hidden="1" customHeight="1" x14ac:dyDescent="0.35">
      <c r="A458" s="6" t="str">
        <f>MID(C458,2,FIND(")",C458,1)-5)</f>
        <v xml:space="preserve">105.1 </v>
      </c>
      <c r="B458" t="str">
        <f>IF(ISNUMBER(FIND("[PASSED]",C458,1)),"PASSED","FAILED")</f>
        <v>PASSED</v>
      </c>
      <c r="C458" s="16" t="s">
        <v>195</v>
      </c>
      <c r="D458" s="6"/>
      <c r="G458" s="13">
        <v>105</v>
      </c>
      <c r="H458" s="13">
        <v>1</v>
      </c>
    </row>
    <row r="459" spans="1:8" ht="15" hidden="1" customHeight="1" x14ac:dyDescent="0.35">
      <c r="A459" s="6" t="str">
        <f>MID(C459,2,FIND(")",C459,1)-5)</f>
        <v xml:space="preserve">105.2 </v>
      </c>
      <c r="B459" t="str">
        <f>IF(ISNUMBER(FIND("[PASSED]",C459,1)),"PASSED","FAILED")</f>
        <v>PASSED</v>
      </c>
      <c r="C459" s="16" t="s">
        <v>13</v>
      </c>
      <c r="D459" s="6"/>
      <c r="G459" s="13">
        <v>105</v>
      </c>
      <c r="H459" s="13">
        <v>2</v>
      </c>
    </row>
    <row r="460" spans="1:8" ht="15" hidden="1" customHeight="1" x14ac:dyDescent="0.35">
      <c r="A460" s="6" t="str">
        <f>MID(C460,2,FIND(")",C460,1)-5)</f>
        <v xml:space="preserve">105.3 </v>
      </c>
      <c r="B460" t="str">
        <f>IF(ISNUMBER(FIND("[PASSED]",C460,1)),"PASSED","FAILED")</f>
        <v>PASSED</v>
      </c>
      <c r="C460" s="16" t="s">
        <v>371</v>
      </c>
      <c r="D460" s="6"/>
      <c r="G460" s="13">
        <v>105</v>
      </c>
      <c r="H460" s="13">
        <v>3</v>
      </c>
    </row>
    <row r="461" spans="1:8" ht="15" hidden="1" customHeight="1" x14ac:dyDescent="0.35">
      <c r="A461" s="6" t="str">
        <f>MID(C461,2,FIND(")",C461,1)-5)</f>
        <v xml:space="preserve">105.4 </v>
      </c>
      <c r="B461" t="str">
        <f>IF(ISNUMBER(FIND("[PASSED]",C461,1)),"PASSED","FAILED")</f>
        <v>PASSED</v>
      </c>
      <c r="C461" s="16" t="s">
        <v>100</v>
      </c>
      <c r="D461" s="6"/>
      <c r="G461" s="13">
        <v>105</v>
      </c>
      <c r="H461" s="13">
        <v>4</v>
      </c>
    </row>
    <row r="462" spans="1:8" ht="15" hidden="1" customHeight="1" x14ac:dyDescent="0.35">
      <c r="A462" s="6" t="str">
        <f>MID(C462,2,FIND(")",C462,1)-5)</f>
        <v xml:space="preserve">105.5 </v>
      </c>
      <c r="B462" t="str">
        <f>IF(ISNUMBER(FIND("[PASSED]",C462,1)),"PASSED","FAILED")</f>
        <v>PASSED</v>
      </c>
      <c r="C462" s="16" t="s">
        <v>135</v>
      </c>
      <c r="D462" s="6"/>
      <c r="G462" s="13">
        <v>105</v>
      </c>
      <c r="H462" s="13">
        <v>5</v>
      </c>
    </row>
    <row r="463" spans="1:8" ht="15" hidden="1" customHeight="1" x14ac:dyDescent="0.35">
      <c r="A463" s="6" t="str">
        <f>MID(C463,2,FIND(")",C463,1)-5)</f>
        <v xml:space="preserve">105.6 </v>
      </c>
      <c r="B463" t="str">
        <f>IF(ISNUMBER(FIND("[PASSED]",C463,1)),"PASSED","FAILED")</f>
        <v>PASSED</v>
      </c>
      <c r="C463" s="16" t="s">
        <v>23</v>
      </c>
      <c r="D463" s="6"/>
      <c r="G463" s="13">
        <v>105</v>
      </c>
      <c r="H463" s="13">
        <v>6</v>
      </c>
    </row>
    <row r="464" spans="1:8" ht="17" customHeight="1" x14ac:dyDescent="0.35">
      <c r="C464" s="21"/>
    </row>
    <row r="465" spans="3:12" s="18" customFormat="1" ht="17" customHeight="1" x14ac:dyDescent="0.35">
      <c r="C465" s="17"/>
      <c r="D465" s="17"/>
      <c r="G465" s="17"/>
      <c r="H465" s="17"/>
      <c r="I465" s="17"/>
      <c r="J465" s="17"/>
      <c r="K465" s="17"/>
      <c r="L465" s="17"/>
    </row>
    <row r="466" spans="3:12" s="18" customFormat="1" ht="17" customHeight="1" x14ac:dyDescent="0.35">
      <c r="C466" s="17"/>
      <c r="D466" s="17"/>
      <c r="G466" s="17"/>
      <c r="H466" s="17"/>
      <c r="I466" s="17"/>
      <c r="J466" s="17"/>
      <c r="K466" s="17"/>
      <c r="L466" s="17"/>
    </row>
    <row r="467" spans="3:12" s="18" customFormat="1" ht="17" customHeight="1" x14ac:dyDescent="0.35">
      <c r="C467" s="17" t="s">
        <v>498</v>
      </c>
      <c r="D467" s="17"/>
      <c r="G467" s="17"/>
      <c r="H467" s="17"/>
      <c r="I467" s="17"/>
      <c r="J467" s="17"/>
      <c r="K467" s="17"/>
      <c r="L467" s="17"/>
    </row>
    <row r="468" spans="3:12" s="18" customFormat="1" ht="17" customHeight="1" x14ac:dyDescent="0.35">
      <c r="C468" s="17"/>
      <c r="D468" s="17"/>
      <c r="G468" s="17"/>
      <c r="H468" s="17"/>
      <c r="I468" s="17"/>
      <c r="J468" s="17"/>
      <c r="K468" s="17"/>
      <c r="L468" s="17"/>
    </row>
    <row r="469" spans="3:12" s="18" customFormat="1" ht="17" customHeight="1" x14ac:dyDescent="0.35">
      <c r="C469" s="17"/>
      <c r="D469" s="17"/>
      <c r="G469" s="17"/>
      <c r="H469" s="17"/>
      <c r="I469" s="17"/>
      <c r="J469" s="17"/>
      <c r="K469" s="17"/>
      <c r="L469" s="17"/>
    </row>
  </sheetData>
  <autoFilter ref="A6:L463" xr:uid="{0E45186F-163D-43CA-BFD2-85ACCE2573B3}">
    <filterColumn colId="1">
      <filters>
        <filter val="FAILED"/>
      </filters>
    </filterColumn>
  </autoFilter>
  <sortState xmlns:xlrd2="http://schemas.microsoft.com/office/spreadsheetml/2017/richdata2" ref="A7:L463">
    <sortCondition ref="G7:G463"/>
    <sortCondition ref="H7:H463"/>
    <sortCondition ref="I7:I463"/>
    <sortCondition ref="J7:J463"/>
    <sortCondition ref="K7:K463"/>
    <sortCondition ref="L7:L463"/>
  </sortState>
  <conditionalFormatting sqref="B1:B463">
    <cfRule type="cellIs" dxfId="1" priority="1" operator="equal">
      <formula>"FAILED"</formula>
    </cfRule>
    <cfRule type="cellIs" dxfId="0" priority="2" operator="equal">
      <formula>"PASSED"</formula>
    </cfRule>
  </conditionalFormatting>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23bcc05-bb70-448c-b869-ca05feb44454">
      <Terms xmlns="http://schemas.microsoft.com/office/infopath/2007/PartnerControls"/>
    </lcf76f155ced4ddcb4097134ff3c332f>
    <TaxCatchAll xmlns="636f7450-4f64-45f7-aa6c-f98af71a66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1E9D9E8C516145ACFBCB6BAA5EA879" ma:contentTypeVersion="18" ma:contentTypeDescription="Create a new document." ma:contentTypeScope="" ma:versionID="2a2f1d7922f04b277a2f685ca03032dc">
  <xsd:schema xmlns:xsd="http://www.w3.org/2001/XMLSchema" xmlns:xs="http://www.w3.org/2001/XMLSchema" xmlns:p="http://schemas.microsoft.com/office/2006/metadata/properties" xmlns:ns2="c23bcc05-bb70-448c-b869-ca05feb44454" xmlns:ns3="636f7450-4f64-45f7-aa6c-f98af71a66c2" targetNamespace="http://schemas.microsoft.com/office/2006/metadata/properties" ma:root="true" ma:fieldsID="e36422c9d7f3f2cf8f1f8e714f1f01d7" ns2:_="" ns3:_="">
    <xsd:import namespace="c23bcc05-bb70-448c-b869-ca05feb44454"/>
    <xsd:import namespace="636f7450-4f64-45f7-aa6c-f98af71a66c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bcc05-bb70-448c-b869-ca05feb44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19baf7f-2ee6-4b6f-b5be-33529f278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6f7450-4f64-45f7-aa6c-f98af71a66c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af25e87-4811-4e47-9d32-60b0716b28e5}" ma:internalName="TaxCatchAll" ma:showField="CatchAllData" ma:web="636f7450-4f64-45f7-aa6c-f98af71a66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DE07B-4DE4-4CB5-93FB-8B3AD6DE2355}">
  <ds:schemaRefs>
    <ds:schemaRef ds:uri="http://schemas.microsoft.com/sharepoint/v3/contenttype/forms"/>
  </ds:schemaRefs>
</ds:datastoreItem>
</file>

<file path=customXml/itemProps2.xml><?xml version="1.0" encoding="utf-8"?>
<ds:datastoreItem xmlns:ds="http://schemas.openxmlformats.org/officeDocument/2006/customXml" ds:itemID="{D4344293-AA61-4769-B199-0BF3041967BD}">
  <ds:schemaRefs>
    <ds:schemaRef ds:uri="http://schemas.microsoft.com/office/2006/metadata/properties"/>
    <ds:schemaRef ds:uri="http://schemas.microsoft.com/office/infopath/2007/PartnerControls"/>
    <ds:schemaRef ds:uri="c23bcc05-bb70-448c-b869-ca05feb44454"/>
    <ds:schemaRef ds:uri="636f7450-4f64-45f7-aa6c-f98af71a66c2"/>
  </ds:schemaRefs>
</ds:datastoreItem>
</file>

<file path=customXml/itemProps3.xml><?xml version="1.0" encoding="utf-8"?>
<ds:datastoreItem xmlns:ds="http://schemas.openxmlformats.org/officeDocument/2006/customXml" ds:itemID="{3DEF485D-7429-4622-8A9C-7A0C094A1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bcc05-bb70-448c-b869-ca05feb44454"/>
    <ds:schemaRef ds:uri="636f7450-4f64-45f7-aa6c-f98af71a6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Greene</dc:creator>
  <cp:lastModifiedBy>Evan Greene</cp:lastModifiedBy>
  <dcterms:created xsi:type="dcterms:W3CDTF">2026-03-26T13:46:58Z</dcterms:created>
  <dcterms:modified xsi:type="dcterms:W3CDTF">2026-03-30T14:52:13Z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0x0101005D1E9D9E8C516145ACFBCB6BAA5EA879</vt:lpwstr>
  </property>
  <property fmtid="{D5CDD505-2E9C-101B-9397-08002B2CF9AE}" pid="3" name="MediaServiceImageTags">
    <vt:lpwstr/>
  </property>
</Properties>
</file>